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f7c43ef7014d2f" /></Relationships>
</file>

<file path=xl/workbook.xml><?xml version="1.0" encoding="utf-8"?>
<x:workbook xmlns:x="http://schemas.openxmlformats.org/spreadsheetml/2006/main">
  <x:sheets>
    <x:sheet xmlns:r="http://schemas.openxmlformats.org/officeDocument/2006/relationships" name="Synthèse" sheetId="1" r:id="R87094d69067b4a5b"/>
    <x:sheet xmlns:r="http://schemas.openxmlformats.org/officeDocument/2006/relationships" name="Radar 30" sheetId="2" r:id="Raed3fb87a1b64126"/>
    <x:sheet xmlns:r="http://schemas.openxmlformats.org/officeDocument/2006/relationships" name="Entreprises 216" sheetId="3" r:id="Rabfb79e22a8d40e0"/>
    <x:sheet xmlns:r="http://schemas.openxmlformats.org/officeDocument/2006/relationships" name="Mesures" sheetId="4" r:id="Rc792ac1f00cc49eb"/>
    <x:sheet xmlns:r="http://schemas.openxmlformats.org/officeDocument/2006/relationships" name="Méthode" sheetId="5" r:id="R84a6d24b87ed4d0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
    <x:numFmt numFmtId="201" formatCode="#,##0"/>
    <x:numFmt numFmtId="202" formatCode="#,##0.00"/>
    <x:numFmt numFmtId="203" formatCode="0.0%"/>
  </x:numFmts>
  <x:fonts count="16">
    <x:font>
      <x:sz val="11"/>
      <x:name val="Carlito"/>
    </x:font>
    <x:font>
      <x:b/>
      <x:sz val="16"/>
      <x:color rgb="FFFFFFFF"/>
      <x:name val="Carlito"/>
    </x:font>
    <x:font>
      <x:b/>
      <x:sz val="11"/>
      <x:color rgb="FF17365D"/>
      <x:name val="Carlito"/>
    </x:font>
    <x:font>
      <x:i/>
      <x:sz val="11"/>
      <x:color rgb="FF6B7280"/>
      <x:name val="Carlito"/>
    </x:font>
    <x:font>
      <x:b/>
      <x:sz val="11"/>
      <x:color rgb="FFFFFFFF"/>
      <x:name val="Carlito"/>
    </x:font>
    <x:font>
      <x:b/>
      <x:sz val="15"/>
      <x:color rgb="FFFFFFFF"/>
      <x:name val="Carlito"/>
    </x:font>
    <x:font>
      <x:b/>
      <x:sz val="17"/>
      <x:color rgb="FFFFFFFF"/>
      <x:name val="Carlito"/>
    </x:font>
    <x:font>
      <x:b/>
      <x:sz val="15"/>
      <x:color rgb="FF215E21"/>
      <x:name val="Carlito"/>
    </x:font>
    <x:font>
      <x:b/>
      <x:sz val="15"/>
      <x:color rgb="FF9C5700"/>
      <x:name val="Carlito"/>
    </x:font>
    <x:font>
      <x:b/>
      <x:sz val="15"/>
      <x:color rgb="FF9C0006"/>
      <x:name val="Carlito"/>
    </x:font>
    <x:font>
      <x:b/>
      <x:sz val="15"/>
      <x:color rgb="FF17365D"/>
      <x:name val="Carlito"/>
    </x:font>
    <x:font>
      <x:b/>
      <x:sz val="11"/>
      <x:color rgb="FF7F6000"/>
      <x:name val="Carlito"/>
    </x:font>
    <x:font>
      <x:b/>
      <x:sz val="10"/>
      <x:color rgb="FFFFFFFF"/>
      <x:name val="Carlito"/>
    </x:font>
    <x:font>
      <x:i/>
      <x:sz val="10"/>
      <x:color rgb="FF6B7280"/>
      <x:name val="Carlito"/>
    </x:font>
    <x:font>
      <x:sz val="10"/>
      <x:name val="Carlito"/>
    </x:font>
    <x:font>
      <x:b/>
      <x:sz val="10"/>
      <x:color rgb="FF17365D"/>
      <x:name val="Carlito"/>
    </x:font>
  </x:fonts>
  <x:fills count="9">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4F7FA"/>
      </x:patternFill>
    </x:fill>
    <x:fill>
      <x:patternFill patternType="solid">
        <x:fgColor rgb="FFE2F0D9"/>
      </x:patternFill>
    </x:fill>
    <x:fill>
      <x:patternFill patternType="solid">
        <x:fgColor rgb="FFFCE4D6"/>
      </x:patternFill>
    </x:fill>
    <x:fill>
      <x:patternFill patternType="solid">
        <x:fgColor rgb="FFF4CCCC"/>
      </x:patternFill>
    </x:fill>
    <x:fill>
      <x:patternFill patternType="solid">
        <x:fgColor rgb="FFFFF2CC"/>
      </x:patternFill>
    </x:fill>
  </x:fills>
  <x:borders count="42">
    <x:border/>
    <x:border>
      <x:left style="medium">
        <x:color rgb="FFA9D08E"/>
      </x:left>
      <x:top style="medium">
        <x:color rgb="FFA9D08E"/>
      </x:top>
    </x:border>
    <x:border>
      <x:right style="medium">
        <x:color rgb="FFA9D08E"/>
      </x:right>
      <x:top style="medium">
        <x:color rgb="FFA9D08E"/>
      </x:top>
    </x:border>
    <x:border>
      <x:left style="medium">
        <x:color rgb="FFA9D08E"/>
      </x:left>
    </x:border>
    <x:border>
      <x:right style="medium">
        <x:color rgb="FFA9D08E"/>
      </x:right>
    </x:border>
    <x:border>
      <x:left style="medium">
        <x:color rgb="FFA9D08E"/>
      </x:left>
      <x:bottom style="medium">
        <x:color rgb="FFA9D08E"/>
      </x:bottom>
    </x:border>
    <x:border>
      <x:right style="medium">
        <x:color rgb="FFA9D08E"/>
      </x:right>
      <x:bottom style="medium">
        <x:color rgb="FFA9D08E"/>
      </x:bottom>
    </x:border>
    <x:border>
      <x:left style="medium">
        <x:color rgb="FFF4B183"/>
      </x:left>
      <x:top style="medium">
        <x:color rgb="FFF4B183"/>
      </x:top>
    </x:border>
    <x:border>
      <x:right style="medium">
        <x:color rgb="FFF4B183"/>
      </x:right>
      <x:top style="medium">
        <x:color rgb="FFF4B183"/>
      </x:top>
    </x:border>
    <x:border>
      <x:left style="medium">
        <x:color rgb="FFF4B183"/>
      </x:left>
    </x:border>
    <x:border>
      <x:right style="medium">
        <x:color rgb="FFF4B183"/>
      </x:right>
    </x:border>
    <x:border>
      <x:left style="medium">
        <x:color rgb="FFF4B183"/>
      </x:left>
      <x:bottom style="medium">
        <x:color rgb="FFF4B183"/>
      </x:bottom>
    </x:border>
    <x:border>
      <x:right style="medium">
        <x:color rgb="FFF4B183"/>
      </x:right>
      <x:bottom style="medium">
        <x:color rgb="FFF4B183"/>
      </x:bottom>
    </x:border>
    <x:border>
      <x:left style="medium">
        <x:color rgb="FFE6B8B7"/>
      </x:left>
      <x:top style="medium">
        <x:color rgb="FFE6B8B7"/>
      </x:top>
    </x:border>
    <x:border>
      <x:right style="medium">
        <x:color rgb="FFE6B8B7"/>
      </x:right>
      <x:top style="medium">
        <x:color rgb="FFE6B8B7"/>
      </x:top>
    </x:border>
    <x:border>
      <x:left style="medium">
        <x:color rgb="FFE6B8B7"/>
      </x:left>
    </x:border>
    <x:border>
      <x:right style="medium">
        <x:color rgb="FFE6B8B7"/>
      </x:right>
    </x:border>
    <x:border>
      <x:left style="medium">
        <x:color rgb="FFE6B8B7"/>
      </x:left>
      <x:bottom style="medium">
        <x:color rgb="FFE6B8B7"/>
      </x:bottom>
    </x:border>
    <x:border>
      <x:right style="medium">
        <x:color rgb="FFE6B8B7"/>
      </x:right>
      <x:bottom style="medium">
        <x:color rgb="FFE6B8B7"/>
      </x:bottom>
    </x:border>
    <x:border>
      <x:left style="medium">
        <x:color rgb="FF9EADBA"/>
      </x:left>
      <x:top style="medium">
        <x:color rgb="FF9EADBA"/>
      </x:top>
    </x:border>
    <x:border>
      <x:right style="medium">
        <x:color rgb="FF9EADBA"/>
      </x:right>
      <x:top style="medium">
        <x:color rgb="FF9EADBA"/>
      </x:top>
    </x:border>
    <x:border>
      <x:left style="medium">
        <x:color rgb="FF9EADBA"/>
      </x:left>
    </x:border>
    <x:border>
      <x:right style="medium">
        <x:color rgb="FF9EADBA"/>
      </x:right>
    </x:border>
    <x:border>
      <x:left style="medium">
        <x:color rgb="FF9EADBA"/>
      </x:left>
      <x:bottom style="medium">
        <x:color rgb="FF9EADBA"/>
      </x:bottom>
    </x:border>
    <x:border>
      <x:right style="medium">
        <x:color rgb="FF9EADBA"/>
      </x:right>
      <x:bottom style="medium">
        <x:color rgb="FF9EADBA"/>
      </x:bottom>
    </x:border>
    <x:border>
      <x:right style="thin">
        <x:color rgb="FFD9EAD3"/>
      </x:right>
      <x:bottom style="thin">
        <x:color rgb="FFD9EAD3"/>
      </x:bottom>
    </x:border>
    <x:border>
      <x:left style="thin">
        <x:color rgb="FFD9EAD3"/>
      </x:left>
      <x:right style="thin">
        <x:color rgb="FFD9EAD3"/>
      </x:right>
      <x:bottom style="thin">
        <x:color rgb="FFD9EAD3"/>
      </x:bottom>
    </x:border>
    <x:border>
      <x:left style="thin">
        <x:color rgb="FFD9EAD3"/>
      </x:left>
      <x:bottom style="thin">
        <x:color rgb="FFD9EAD3"/>
      </x:bottom>
    </x:border>
    <x:border>
      <x:right style="thin">
        <x:color rgb="FFD9EAD3"/>
      </x:right>
      <x:top style="thin">
        <x:color rgb="FFD9EAD3"/>
      </x:top>
      <x:bottom style="thin">
        <x:color rgb="FFD9EAD3"/>
      </x:bottom>
    </x:border>
    <x:border>
      <x:left style="thin">
        <x:color rgb="FFD9EAD3"/>
      </x:left>
      <x:right style="thin">
        <x:color rgb="FFD9EAD3"/>
      </x:right>
      <x:top style="thin">
        <x:color rgb="FFD9EAD3"/>
      </x:top>
      <x:bottom style="thin">
        <x:color rgb="FFD9EAD3"/>
      </x:bottom>
    </x:border>
    <x:border>
      <x:left style="thin">
        <x:color rgb="FFD9EAD3"/>
      </x:left>
      <x:top style="thin">
        <x:color rgb="FFD9EAD3"/>
      </x:top>
      <x:bottom style="thin">
        <x:color rgb="FFD9EAD3"/>
      </x:bottom>
    </x:border>
    <x:border>
      <x:right style="thin">
        <x:color rgb="FFD9EAD3"/>
      </x:right>
      <x:top style="thin">
        <x:color rgb="FFD9EAD3"/>
      </x:top>
    </x:border>
    <x:border>
      <x:left style="thin">
        <x:color rgb="FFD9EAD3"/>
      </x:left>
      <x:right style="thin">
        <x:color rgb="FFD9EAD3"/>
      </x:right>
      <x:top style="thin">
        <x:color rgb="FFD9EAD3"/>
      </x:top>
    </x:border>
    <x:border>
      <x:left style="thin">
        <x:color rgb="FFD9EAD3"/>
      </x:left>
      <x:top style="thin">
        <x:color rgb="FFD9EAD3"/>
      </x:top>
    </x:border>
    <x:border>
      <x:left style="medium">
        <x:color rgb="FFD6B656"/>
      </x:left>
      <x:top style="medium">
        <x:color rgb="FFD6B656"/>
      </x:top>
    </x:border>
    <x:border>
      <x:top style="medium">
        <x:color rgb="FFD6B656"/>
      </x:top>
    </x:border>
    <x:border>
      <x:right style="medium">
        <x:color rgb="FFD6B656"/>
      </x:right>
      <x:top style="medium">
        <x:color rgb="FFD6B656"/>
      </x:top>
    </x:border>
    <x:border>
      <x:left style="medium">
        <x:color rgb="FFD6B656"/>
      </x:left>
    </x:border>
    <x:border>
      <x:right style="medium">
        <x:color rgb="FFD6B656"/>
      </x:right>
    </x:border>
    <x:border>
      <x:left style="medium">
        <x:color rgb="FFD6B656"/>
      </x:left>
      <x:bottom style="medium">
        <x:color rgb="FFD6B656"/>
      </x:bottom>
    </x:border>
    <x:border>
      <x:bottom style="medium">
        <x:color rgb="FFD6B656"/>
      </x:bottom>
    </x:border>
    <x:border>
      <x:right style="medium">
        <x:color rgb="FFD6B656"/>
      </x:right>
      <x:bottom style="medium">
        <x:color rgb="FFD6B656"/>
      </x:bottom>
    </x:border>
  </x:borders>
  <x:cellStyleXfs count="1">
    <x:xf numFmtId="0" fontId="0" fillId="0" borderId="0"/>
  </x:cellStyleXfs>
  <x:cellXfs count="23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x:xf>
    <x:xf numFmtId="0" fontId="2" fillId="3" borderId="0" xfId="0" applyNumberFormat="1" applyFont="1" applyFill="1" applyBorder="1" applyAlignment="1">
      <x:alignment vertical="center"/>
    </x:xf>
    <x:xf numFmtId="20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202" fontId="0" fillId="0" borderId="0" xfId="0" applyNumberFormat="1" applyFont="1" applyFill="1" applyBorder="1"/>
    <x:xf numFmtId="203" fontId="0" fillId="0" borderId="0" xfId="0" applyNumberFormat="1" applyFont="1" applyFill="1" applyBorder="1"/>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5" fillId="2" borderId="0" xfId="0" applyNumberFormat="1" applyFont="1" applyFill="1" applyBorder="1"/>
    <x:xf numFmtId="0" fontId="2" fillId="3" borderId="0" xfId="0" applyNumberFormat="1" applyFont="1" applyFill="1" applyBorder="1" applyAlignment="1">
      <x:alignment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0" fillId="5" borderId="0" xfId="0" applyNumberFormat="1" applyFont="1" applyFill="1" applyBorder="1"/>
    <x:xf numFmtId="0" fontId="7" fillId="5" borderId="0" xfId="0" applyNumberFormat="1" applyFont="1" applyFill="1" applyBorder="1"/>
    <x:xf numFmtId="0" fontId="7" fillId="5" borderId="1" xfId="0" applyNumberFormat="1" applyFont="1" applyFill="1" applyBorder="1"/>
    <x:xf numFmtId="0" fontId="7" fillId="5" borderId="2" xfId="0" applyNumberFormat="1" applyFont="1" applyFill="1" applyBorder="1"/>
    <x:xf numFmtId="0" fontId="7" fillId="5" borderId="3"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1" xfId="0" applyNumberFormat="1" applyFont="1" applyFill="1" applyBorder="1" applyAlignment="1">
      <x:alignment horizontal="center"/>
    </x:xf>
    <x:xf numFmtId="0" fontId="7" fillId="5" borderId="2" xfId="0" applyNumberFormat="1" applyFont="1" applyFill="1" applyBorder="1" applyAlignment="1">
      <x:alignment horizontal="center"/>
    </x:xf>
    <x:xf numFmtId="0" fontId="7" fillId="5" borderId="3" xfId="0" applyNumberFormat="1" applyFont="1" applyFill="1" applyBorder="1" applyAlignment="1">
      <x:alignment horizontal="center"/>
    </x:xf>
    <x:xf numFmtId="0" fontId="7" fillId="5" borderId="4" xfId="0" applyNumberFormat="1" applyFont="1" applyFill="1" applyBorder="1" applyAlignment="1">
      <x:alignment horizontal="center"/>
    </x:xf>
    <x:xf numFmtId="0" fontId="7" fillId="5" borderId="5" xfId="0" applyNumberFormat="1" applyFont="1" applyFill="1" applyBorder="1" applyAlignment="1">
      <x:alignment horizontal="center"/>
    </x:xf>
    <x:xf numFmtId="0" fontId="7" fillId="5" borderId="6" xfId="0" applyNumberFormat="1" applyFont="1" applyFill="1" applyBorder="1" applyAlignment="1">
      <x:alignment horizontal="center"/>
    </x:xf>
    <x:xf numFmtId="0" fontId="7" fillId="5" borderId="1" xfId="0" applyNumberFormat="1" applyFont="1" applyFill="1" applyBorder="1" applyAlignment="1">
      <x:alignment horizontal="center" vertical="center"/>
    </x:xf>
    <x:xf numFmtId="0" fontId="7" fillId="5" borderId="2" xfId="0" applyNumberFormat="1" applyFont="1" applyFill="1" applyBorder="1" applyAlignment="1">
      <x:alignment horizontal="center" vertical="center"/>
    </x:xf>
    <x:xf numFmtId="0" fontId="7" fillId="5" borderId="3" xfId="0" applyNumberFormat="1" applyFont="1" applyFill="1" applyBorder="1" applyAlignment="1">
      <x:alignment horizontal="center" vertical="center"/>
    </x:xf>
    <x:xf numFmtId="0" fontId="7" fillId="5" borderId="4" xfId="0" applyNumberFormat="1" applyFont="1" applyFill="1" applyBorder="1" applyAlignment="1">
      <x:alignment horizontal="center" vertical="center"/>
    </x:xf>
    <x:xf numFmtId="0" fontId="7" fillId="5" borderId="5" xfId="0" applyNumberFormat="1" applyFont="1" applyFill="1" applyBorder="1" applyAlignment="1">
      <x:alignment horizontal="center" vertical="center"/>
    </x:xf>
    <x:xf numFmtId="0" fontId="7" fillId="5" borderId="6" xfId="0" applyNumberFormat="1" applyFont="1" applyFill="1" applyBorder="1" applyAlignment="1">
      <x:alignment horizontal="center" vertical="center"/>
    </x:xf>
    <x:xf numFmtId="0" fontId="0" fillId="6" borderId="0" xfId="0" applyNumberFormat="1" applyFont="1" applyFill="1" applyBorder="1"/>
    <x:xf numFmtId="0" fontId="8" fillId="6" borderId="0" xfId="0" applyNumberFormat="1" applyFont="1" applyFill="1" applyBorder="1"/>
    <x:xf numFmtId="0" fontId="8" fillId="6" borderId="7"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10" xfId="0" applyNumberFormat="1" applyFont="1" applyFill="1" applyBorder="1"/>
    <x:xf numFmtId="0" fontId="8" fillId="6" borderId="11" xfId="0" applyNumberFormat="1" applyFont="1" applyFill="1" applyBorder="1"/>
    <x:xf numFmtId="0" fontId="8" fillId="6" borderId="12" xfId="0" applyNumberFormat="1" applyFont="1" applyFill="1" applyBorder="1"/>
    <x:xf numFmtId="0" fontId="8" fillId="6" borderId="7" xfId="0" applyNumberFormat="1" applyFont="1" applyFill="1" applyBorder="1" applyAlignment="1">
      <x:alignment horizontal="center"/>
    </x:xf>
    <x:xf numFmtId="0" fontId="8" fillId="6" borderId="8" xfId="0" applyNumberFormat="1" applyFont="1" applyFill="1" applyBorder="1" applyAlignment="1">
      <x:alignment horizontal="center"/>
    </x:xf>
    <x:xf numFmtId="0" fontId="8" fillId="6" borderId="9" xfId="0" applyNumberFormat="1" applyFont="1" applyFill="1" applyBorder="1" applyAlignment="1">
      <x:alignment horizontal="center"/>
    </x:xf>
    <x:xf numFmtId="0" fontId="8" fillId="6" borderId="10" xfId="0" applyNumberFormat="1" applyFont="1" applyFill="1" applyBorder="1" applyAlignment="1">
      <x:alignment horizontal="center"/>
    </x:xf>
    <x:xf numFmtId="0" fontId="8" fillId="6" borderId="11" xfId="0" applyNumberFormat="1" applyFont="1" applyFill="1" applyBorder="1" applyAlignment="1">
      <x:alignment horizontal="center"/>
    </x:xf>
    <x:xf numFmtId="0" fontId="8" fillId="6" borderId="12" xfId="0" applyNumberFormat="1" applyFont="1" applyFill="1" applyBorder="1" applyAlignment="1">
      <x:alignment horizontal="center"/>
    </x:xf>
    <x:xf numFmtId="0" fontId="8" fillId="6" borderId="7" xfId="0" applyNumberFormat="1" applyFont="1" applyFill="1" applyBorder="1" applyAlignment="1">
      <x:alignment horizontal="center" vertical="center"/>
    </x:xf>
    <x:xf numFmtId="0" fontId="8" fillId="6" borderId="8" xfId="0" applyNumberFormat="1" applyFont="1" applyFill="1" applyBorder="1" applyAlignment="1">
      <x:alignment horizontal="center" vertical="center"/>
    </x:xf>
    <x:xf numFmtId="0" fontId="8" fillId="6" borderId="9" xfId="0" applyNumberFormat="1" applyFont="1" applyFill="1" applyBorder="1" applyAlignment="1">
      <x:alignment horizontal="center" vertical="center"/>
    </x:xf>
    <x:xf numFmtId="0" fontId="8" fillId="6" borderId="10" xfId="0" applyNumberFormat="1" applyFont="1" applyFill="1" applyBorder="1" applyAlignment="1">
      <x:alignment horizontal="center" vertical="center"/>
    </x:xf>
    <x:xf numFmtId="0" fontId="8" fillId="6" borderId="11" xfId="0" applyNumberFormat="1" applyFont="1" applyFill="1" applyBorder="1" applyAlignment="1">
      <x:alignment horizontal="center" vertical="center"/>
    </x:xf>
    <x:xf numFmtId="0" fontId="8" fillId="6" borderId="12" xfId="0" applyNumberFormat="1" applyFont="1" applyFill="1" applyBorder="1" applyAlignment="1">
      <x:alignment horizontal="center" vertical="center"/>
    </x:xf>
    <x:xf numFmtId="0" fontId="0" fillId="7" borderId="0" xfId="0" applyNumberFormat="1" applyFont="1" applyFill="1" applyBorder="1"/>
    <x:xf numFmtId="0" fontId="9" fillId="7" borderId="0" xfId="0" applyNumberFormat="1" applyFont="1" applyFill="1" applyBorder="1"/>
    <x:xf numFmtId="0" fontId="9" fillId="7" borderId="13" xfId="0" applyNumberFormat="1" applyFont="1" applyFill="1" applyBorder="1"/>
    <x:xf numFmtId="0" fontId="9" fillId="7" borderId="14" xfId="0" applyNumberFormat="1" applyFont="1" applyFill="1" applyBorder="1"/>
    <x:xf numFmtId="0" fontId="9" fillId="7" borderId="15" xfId="0" applyNumberFormat="1" applyFont="1" applyFill="1" applyBorder="1"/>
    <x:xf numFmtId="0" fontId="9" fillId="7" borderId="16" xfId="0" applyNumberFormat="1" applyFont="1" applyFill="1" applyBorder="1"/>
    <x:xf numFmtId="0" fontId="9" fillId="7" borderId="17" xfId="0" applyNumberFormat="1" applyFont="1" applyFill="1" applyBorder="1"/>
    <x:xf numFmtId="0" fontId="9" fillId="7" borderId="18" xfId="0" applyNumberFormat="1" applyFont="1" applyFill="1" applyBorder="1"/>
    <x:xf numFmtId="0" fontId="9" fillId="7" borderId="13" xfId="0" applyNumberFormat="1" applyFont="1" applyFill="1" applyBorder="1" applyAlignment="1">
      <x:alignment horizontal="center"/>
    </x:xf>
    <x:xf numFmtId="0" fontId="9" fillId="7" borderId="14" xfId="0" applyNumberFormat="1" applyFont="1" applyFill="1" applyBorder="1" applyAlignment="1">
      <x:alignment horizontal="center"/>
    </x:xf>
    <x:xf numFmtId="0" fontId="9" fillId="7" borderId="15" xfId="0" applyNumberFormat="1" applyFont="1" applyFill="1" applyBorder="1" applyAlignment="1">
      <x:alignment horizontal="center"/>
    </x:xf>
    <x:xf numFmtId="0" fontId="9" fillId="7" borderId="16" xfId="0" applyNumberFormat="1" applyFont="1" applyFill="1" applyBorder="1" applyAlignment="1">
      <x:alignment horizontal="center"/>
    </x:xf>
    <x:xf numFmtId="0" fontId="9" fillId="7" borderId="17" xfId="0" applyNumberFormat="1" applyFont="1" applyFill="1" applyBorder="1" applyAlignment="1">
      <x:alignment horizontal="center"/>
    </x:xf>
    <x:xf numFmtId="0" fontId="9" fillId="7" borderId="18" xfId="0" applyNumberFormat="1" applyFont="1" applyFill="1" applyBorder="1" applyAlignment="1">
      <x:alignment horizontal="center"/>
    </x:xf>
    <x:xf numFmtId="0" fontId="9" fillId="7" borderId="13" xfId="0" applyNumberFormat="1" applyFont="1" applyFill="1" applyBorder="1" applyAlignment="1">
      <x:alignment horizontal="center" vertical="center"/>
    </x:xf>
    <x:xf numFmtId="0" fontId="9" fillId="7" borderId="14" xfId="0" applyNumberFormat="1" applyFont="1" applyFill="1" applyBorder="1" applyAlignment="1">
      <x:alignment horizontal="center" vertical="center"/>
    </x:xf>
    <x:xf numFmtId="0" fontId="9" fillId="7" borderId="15" xfId="0" applyNumberFormat="1" applyFont="1" applyFill="1" applyBorder="1" applyAlignment="1">
      <x:alignment horizontal="center" vertical="center"/>
    </x:xf>
    <x:xf numFmtId="0" fontId="9" fillId="7" borderId="16" xfId="0" applyNumberFormat="1" applyFont="1" applyFill="1" applyBorder="1" applyAlignment="1">
      <x:alignment horizontal="center" vertical="center"/>
    </x:xf>
    <x:xf numFmtId="0" fontId="9" fillId="7" borderId="17" xfId="0" applyNumberFormat="1" applyFont="1" applyFill="1" applyBorder="1" applyAlignment="1">
      <x:alignment horizontal="center" vertical="center"/>
    </x:xf>
    <x:xf numFmtId="0" fontId="9" fillId="7" borderId="18" xfId="0" applyNumberFormat="1" applyFont="1" applyFill="1" applyBorder="1" applyAlignment="1">
      <x:alignment horizontal="center" vertical="center"/>
    </x:xf>
    <x:xf numFmtId="0" fontId="10" fillId="3" borderId="0" xfId="0" applyNumberFormat="1" applyFont="1" applyFill="1" applyBorder="1"/>
    <x:xf numFmtId="0" fontId="10" fillId="3" borderId="19" xfId="0" applyNumberFormat="1" applyFont="1" applyFill="1" applyBorder="1"/>
    <x:xf numFmtId="0" fontId="10" fillId="3" borderId="20" xfId="0" applyNumberFormat="1" applyFont="1" applyFill="1" applyBorder="1"/>
    <x:xf numFmtId="0" fontId="10" fillId="3" borderId="21" xfId="0" applyNumberFormat="1" applyFont="1" applyFill="1" applyBorder="1"/>
    <x:xf numFmtId="0" fontId="10" fillId="3" borderId="22" xfId="0" applyNumberFormat="1" applyFont="1" applyFill="1" applyBorder="1"/>
    <x:xf numFmtId="0" fontId="10" fillId="3" borderId="23" xfId="0" applyNumberFormat="1" applyFont="1" applyFill="1" applyBorder="1"/>
    <x:xf numFmtId="0" fontId="10" fillId="3" borderId="24" xfId="0" applyNumberFormat="1" applyFont="1" applyFill="1" applyBorder="1"/>
    <x:xf numFmtId="0" fontId="10" fillId="3" borderId="19" xfId="0" applyNumberFormat="1" applyFont="1" applyFill="1" applyBorder="1" applyAlignment="1">
      <x:alignment horizontal="center"/>
    </x:xf>
    <x:xf numFmtId="0" fontId="10" fillId="3" borderId="20" xfId="0" applyNumberFormat="1" applyFont="1" applyFill="1" applyBorder="1" applyAlignment="1">
      <x:alignment horizontal="center"/>
    </x:xf>
    <x:xf numFmtId="0" fontId="10" fillId="3" borderId="21" xfId="0" applyNumberFormat="1" applyFont="1" applyFill="1" applyBorder="1" applyAlignment="1">
      <x:alignment horizontal="center"/>
    </x:xf>
    <x:xf numFmtId="0" fontId="10" fillId="3" borderId="22" xfId="0" applyNumberFormat="1" applyFont="1" applyFill="1" applyBorder="1" applyAlignment="1">
      <x:alignment horizontal="center"/>
    </x:xf>
    <x:xf numFmtId="0" fontId="10" fillId="3" borderId="23" xfId="0" applyNumberFormat="1" applyFont="1" applyFill="1" applyBorder="1" applyAlignment="1">
      <x:alignment horizontal="center"/>
    </x:xf>
    <x:xf numFmtId="0" fontId="10" fillId="3" borderId="24" xfId="0" applyNumberFormat="1" applyFont="1" applyFill="1" applyBorder="1" applyAlignment="1">
      <x:alignment horizontal="center"/>
    </x:xf>
    <x:xf numFmtId="0" fontId="10" fillId="3" borderId="19" xfId="0" applyNumberFormat="1" applyFont="1" applyFill="1" applyBorder="1" applyAlignment="1">
      <x:alignment horizontal="center" vertical="center"/>
    </x:xf>
    <x:xf numFmtId="0" fontId="10" fillId="3" borderId="20" xfId="0" applyNumberFormat="1" applyFont="1" applyFill="1" applyBorder="1" applyAlignment="1">
      <x:alignment horizontal="center" vertical="center"/>
    </x:xf>
    <x:xf numFmtId="0" fontId="10" fillId="3" borderId="21" xfId="0" applyNumberFormat="1" applyFont="1" applyFill="1" applyBorder="1" applyAlignment="1">
      <x:alignment horizontal="center" vertical="center"/>
    </x:xf>
    <x:xf numFmtId="0" fontId="10" fillId="3" borderId="22" xfId="0" applyNumberFormat="1" applyFont="1" applyFill="1" applyBorder="1" applyAlignment="1">
      <x:alignment horizontal="center" vertical="center"/>
    </x:xf>
    <x:xf numFmtId="0" fontId="10" fillId="3" borderId="23" xfId="0" applyNumberFormat="1" applyFont="1" applyFill="1" applyBorder="1" applyAlignment="1">
      <x:alignment horizontal="center" vertical="center"/>
    </x:xf>
    <x:xf numFmtId="0" fontId="10" fillId="3" borderId="24" xfId="0" applyNumberFormat="1" applyFont="1" applyFill="1" applyBorder="1" applyAlignment="1">
      <x:alignment horizontal="center" vertical="center"/>
    </x:xf>
    <x:xf numFmtId="201" fontId="7" fillId="5" borderId="3" xfId="0" applyNumberFormat="1" applyFont="1" applyFill="1" applyBorder="1" applyAlignment="1">
      <x:alignment horizontal="center" vertical="center"/>
    </x:xf>
    <x:xf numFmtId="201" fontId="7" fillId="5" borderId="4" xfId="0" applyNumberFormat="1" applyFont="1" applyFill="1" applyBorder="1" applyAlignment="1">
      <x:alignment horizontal="center" vertical="center"/>
    </x:xf>
    <x:xf numFmtId="201" fontId="8" fillId="6" borderId="9" xfId="0" applyNumberFormat="1" applyFont="1" applyFill="1" applyBorder="1" applyAlignment="1">
      <x:alignment horizontal="center" vertical="center"/>
    </x:xf>
    <x:xf numFmtId="201" fontId="8" fillId="6" borderId="10" xfId="0" applyNumberFormat="1" applyFont="1" applyFill="1" applyBorder="1" applyAlignment="1">
      <x:alignment horizontal="center" vertical="center"/>
    </x:xf>
    <x:xf numFmtId="201" fontId="9" fillId="7" borderId="15" xfId="0" applyNumberFormat="1" applyFont="1" applyFill="1" applyBorder="1" applyAlignment="1">
      <x:alignment horizontal="center" vertical="center"/>
    </x:xf>
    <x:xf numFmtId="201" fontId="9" fillId="7" borderId="16" xfId="0" applyNumberFormat="1" applyFont="1" applyFill="1" applyBorder="1" applyAlignment="1">
      <x:alignment horizontal="center" vertical="center"/>
    </x:xf>
    <x:xf numFmtId="201" fontId="10" fillId="3" borderId="21" xfId="0" applyNumberFormat="1" applyFont="1" applyFill="1" applyBorder="1" applyAlignment="1">
      <x:alignment horizontal="center" vertical="center"/>
    </x:xf>
    <x:xf numFmtId="201" fontId="10" fillId="3" borderId="22" xfId="0" applyNumberFormat="1" applyFont="1" applyFill="1" applyBorder="1" applyAlignment="1">
      <x:alignment horizontal="center" vertical="center"/>
    </x:xf>
    <x:xf numFmtId="201" fontId="7" fillId="5" borderId="5" xfId="0" applyNumberFormat="1" applyFont="1" applyFill="1" applyBorder="1" applyAlignment="1">
      <x:alignment horizontal="center" vertical="center"/>
    </x:xf>
    <x:xf numFmtId="201" fontId="7" fillId="5" borderId="6" xfId="0" applyNumberFormat="1" applyFont="1" applyFill="1" applyBorder="1" applyAlignment="1">
      <x:alignment horizontal="center" vertical="center"/>
    </x:xf>
    <x:xf numFmtId="201" fontId="8" fillId="6" borderId="11" xfId="0" applyNumberFormat="1" applyFont="1" applyFill="1" applyBorder="1" applyAlignment="1">
      <x:alignment horizontal="center" vertical="center"/>
    </x:xf>
    <x:xf numFmtId="201" fontId="8" fillId="6" borderId="12" xfId="0" applyNumberFormat="1" applyFont="1" applyFill="1" applyBorder="1" applyAlignment="1">
      <x:alignment horizontal="center" vertical="center"/>
    </x:xf>
    <x:xf numFmtId="201" fontId="9" fillId="7" borderId="17" xfId="0" applyNumberFormat="1" applyFont="1" applyFill="1" applyBorder="1" applyAlignment="1">
      <x:alignment horizontal="center" vertical="center"/>
    </x:xf>
    <x:xf numFmtId="201" fontId="9" fillId="7" borderId="18" xfId="0" applyNumberFormat="1" applyFont="1" applyFill="1" applyBorder="1" applyAlignment="1">
      <x:alignment horizontal="center" vertical="center"/>
    </x:xf>
    <x:xf numFmtId="201" fontId="10" fillId="3" borderId="23" xfId="0" applyNumberFormat="1" applyFont="1" applyFill="1" applyBorder="1" applyAlignment="1">
      <x:alignment horizontal="center" vertical="center"/>
    </x:xf>
    <x:xf numFmtId="201" fontId="10" fillId="3" borderId="24" xfId="0" applyNumberFormat="1" applyFont="1" applyFill="1" applyBorder="1" applyAlignment="1">
      <x:alignment horizontal="center" vertical="center"/>
    </x:xf>
    <x:xf numFmtId="201" fontId="0" fillId="5" borderId="0" xfId="0" applyNumberFormat="1" applyFont="1" applyFill="1" applyBorder="1"/>
    <x:xf numFmtId="203" fontId="0" fillId="5" borderId="0" xfId="0" applyNumberFormat="1" applyFont="1" applyFill="1" applyBorder="1"/>
    <x:xf numFmtId="0" fontId="0" fillId="5" borderId="25" xfId="0" applyNumberFormat="1" applyFont="1" applyFill="1" applyBorder="1"/>
    <x:xf numFmtId="0" fontId="0" fillId="5" borderId="26" xfId="0" applyNumberFormat="1" applyFont="1" applyFill="1" applyBorder="1"/>
    <x:xf numFmtId="201" fontId="0" fillId="5" borderId="26" xfId="0" applyNumberFormat="1" applyFont="1" applyFill="1" applyBorder="1"/>
    <x:xf numFmtId="203" fontId="0" fillId="5" borderId="26" xfId="0" applyNumberFormat="1" applyFont="1" applyFill="1" applyBorder="1"/>
    <x:xf numFmtId="0" fontId="0" fillId="5" borderId="27" xfId="0" applyNumberFormat="1" applyFont="1" applyFill="1" applyBorder="1"/>
    <x:xf numFmtId="0" fontId="0" fillId="5" borderId="28" xfId="0" applyNumberFormat="1" applyFont="1" applyFill="1" applyBorder="1"/>
    <x:xf numFmtId="0" fontId="0" fillId="5" borderId="29" xfId="0" applyNumberFormat="1" applyFont="1" applyFill="1" applyBorder="1"/>
    <x:xf numFmtId="201" fontId="0" fillId="5" borderId="29" xfId="0" applyNumberFormat="1" applyFont="1" applyFill="1" applyBorder="1"/>
    <x:xf numFmtId="203" fontId="0" fillId="5" borderId="29" xfId="0" applyNumberFormat="1" applyFont="1" applyFill="1" applyBorder="1"/>
    <x:xf numFmtId="0" fontId="0" fillId="5" borderId="30" xfId="0" applyNumberFormat="1" applyFont="1" applyFill="1" applyBorder="1"/>
    <x:xf numFmtId="0" fontId="0" fillId="5" borderId="31" xfId="0" applyNumberFormat="1" applyFont="1" applyFill="1" applyBorder="1"/>
    <x:xf numFmtId="0" fontId="0" fillId="5" borderId="32" xfId="0" applyNumberFormat="1" applyFont="1" applyFill="1" applyBorder="1"/>
    <x:xf numFmtId="201" fontId="0" fillId="5" borderId="32" xfId="0" applyNumberFormat="1" applyFont="1" applyFill="1" applyBorder="1"/>
    <x:xf numFmtId="203" fontId="0" fillId="5" borderId="32" xfId="0" applyNumberFormat="1" applyFont="1" applyFill="1" applyBorder="1"/>
    <x:xf numFmtId="0" fontId="0" fillId="5" borderId="33" xfId="0" applyNumberFormat="1" applyFont="1" applyFill="1" applyBorder="1"/>
    <x:xf numFmtId="0" fontId="0" fillId="5" borderId="25" xfId="0" applyNumberFormat="1" applyFont="1" applyFill="1" applyBorder="1" applyAlignment="1">
      <x:alignment wrapText="1"/>
    </x:xf>
    <x:xf numFmtId="0" fontId="0" fillId="5" borderId="26" xfId="0" applyNumberFormat="1" applyFont="1" applyFill="1" applyBorder="1" applyAlignment="1">
      <x:alignment wrapText="1"/>
    </x:xf>
    <x:xf numFmtId="201" fontId="0" fillId="5" borderId="26" xfId="0" applyNumberFormat="1" applyFont="1" applyFill="1" applyBorder="1" applyAlignment="1">
      <x:alignment wrapText="1"/>
    </x:xf>
    <x:xf numFmtId="203" fontId="0" fillId="5" borderId="26" xfId="0" applyNumberFormat="1" applyFont="1" applyFill="1" applyBorder="1" applyAlignment="1">
      <x:alignment wrapText="1"/>
    </x:xf>
    <x:xf numFmtId="0" fontId="0" fillId="5" borderId="27" xfId="0" applyNumberFormat="1" applyFont="1" applyFill="1" applyBorder="1" applyAlignment="1">
      <x:alignment wrapText="1"/>
    </x:xf>
    <x:xf numFmtId="0" fontId="0" fillId="5" borderId="28" xfId="0" applyNumberFormat="1" applyFont="1" applyFill="1" applyBorder="1" applyAlignment="1">
      <x:alignment wrapText="1"/>
    </x:xf>
    <x:xf numFmtId="0" fontId="0" fillId="5" borderId="29" xfId="0" applyNumberFormat="1" applyFont="1" applyFill="1" applyBorder="1" applyAlignment="1">
      <x:alignment wrapText="1"/>
    </x:xf>
    <x:xf numFmtId="201" fontId="0" fillId="5" borderId="29" xfId="0" applyNumberFormat="1" applyFont="1" applyFill="1" applyBorder="1" applyAlignment="1">
      <x:alignment wrapText="1"/>
    </x:xf>
    <x:xf numFmtId="203" fontId="0" fillId="5" borderId="29" xfId="0" applyNumberFormat="1" applyFont="1" applyFill="1" applyBorder="1" applyAlignment="1">
      <x:alignment wrapText="1"/>
    </x:xf>
    <x:xf numFmtId="0" fontId="0" fillId="5" borderId="30" xfId="0" applyNumberFormat="1" applyFont="1" applyFill="1" applyBorder="1" applyAlignment="1">
      <x:alignment wrapText="1"/>
    </x:xf>
    <x:xf numFmtId="0" fontId="0" fillId="5" borderId="31" xfId="0" applyNumberFormat="1" applyFont="1" applyFill="1" applyBorder="1" applyAlignment="1">
      <x:alignment wrapText="1"/>
    </x:xf>
    <x:xf numFmtId="0" fontId="0" fillId="5" borderId="32" xfId="0" applyNumberFormat="1" applyFont="1" applyFill="1" applyBorder="1" applyAlignment="1">
      <x:alignment wrapText="1"/>
    </x:xf>
    <x:xf numFmtId="201" fontId="0" fillId="5" borderId="32" xfId="0" applyNumberFormat="1" applyFont="1" applyFill="1" applyBorder="1" applyAlignment="1">
      <x:alignment wrapText="1"/>
    </x:xf>
    <x:xf numFmtId="203" fontId="0" fillId="5" borderId="32" xfId="0" applyNumberFormat="1" applyFont="1" applyFill="1" applyBorder="1" applyAlignment="1">
      <x:alignment wrapText="1"/>
    </x:xf>
    <x:xf numFmtId="0" fontId="0" fillId="5" borderId="33" xfId="0" applyNumberFormat="1" applyFont="1" applyFill="1" applyBorder="1" applyAlignment="1">
      <x:alignment wrapText="1"/>
    </x:xf>
    <x:xf numFmtId="0" fontId="0" fillId="5" borderId="25" xfId="0" applyNumberFormat="1" applyFont="1" applyFill="1" applyBorder="1" applyAlignment="1">
      <x:alignment vertical="top" wrapText="1"/>
    </x:xf>
    <x:xf numFmtId="0" fontId="0" fillId="5" borderId="26" xfId="0" applyNumberFormat="1" applyFont="1" applyFill="1" applyBorder="1" applyAlignment="1">
      <x:alignment vertical="top" wrapText="1"/>
    </x:xf>
    <x:xf numFmtId="201" fontId="0" fillId="5" borderId="26" xfId="0" applyNumberFormat="1" applyFont="1" applyFill="1" applyBorder="1" applyAlignment="1">
      <x:alignment vertical="top" wrapText="1"/>
    </x:xf>
    <x:xf numFmtId="203" fontId="0" fillId="5" borderId="26" xfId="0" applyNumberFormat="1" applyFont="1" applyFill="1" applyBorder="1" applyAlignment="1">
      <x:alignment vertical="top" wrapText="1"/>
    </x:xf>
    <x:xf numFmtId="0" fontId="0" fillId="5" borderId="27" xfId="0" applyNumberFormat="1" applyFont="1" applyFill="1" applyBorder="1" applyAlignment="1">
      <x:alignment vertical="top" wrapText="1"/>
    </x:xf>
    <x:xf numFmtId="0" fontId="0" fillId="5" borderId="28" xfId="0" applyNumberFormat="1" applyFont="1" applyFill="1" applyBorder="1" applyAlignment="1">
      <x:alignment vertical="top" wrapText="1"/>
    </x:xf>
    <x:xf numFmtId="0" fontId="0" fillId="5" borderId="29" xfId="0" applyNumberFormat="1" applyFont="1" applyFill="1" applyBorder="1" applyAlignment="1">
      <x:alignment vertical="top" wrapText="1"/>
    </x:xf>
    <x:xf numFmtId="201" fontId="0" fillId="5" borderId="29" xfId="0" applyNumberFormat="1" applyFont="1" applyFill="1" applyBorder="1" applyAlignment="1">
      <x:alignment vertical="top" wrapText="1"/>
    </x:xf>
    <x:xf numFmtId="203" fontId="0" fillId="5" borderId="29" xfId="0" applyNumberFormat="1" applyFont="1" applyFill="1" applyBorder="1" applyAlignment="1">
      <x:alignment vertical="top" wrapText="1"/>
    </x:xf>
    <x:xf numFmtId="0" fontId="0" fillId="5" borderId="30" xfId="0" applyNumberFormat="1" applyFont="1" applyFill="1" applyBorder="1" applyAlignment="1">
      <x:alignment vertical="top" wrapText="1"/>
    </x:xf>
    <x:xf numFmtId="0" fontId="0" fillId="5" borderId="31" xfId="0" applyNumberFormat="1" applyFont="1" applyFill="1" applyBorder="1" applyAlignment="1">
      <x:alignment vertical="top" wrapText="1"/>
    </x:xf>
    <x:xf numFmtId="0" fontId="0" fillId="5" borderId="32" xfId="0" applyNumberFormat="1" applyFont="1" applyFill="1" applyBorder="1" applyAlignment="1">
      <x:alignment vertical="top" wrapText="1"/>
    </x:xf>
    <x:xf numFmtId="201" fontId="0" fillId="5" borderId="32" xfId="0" applyNumberFormat="1" applyFont="1" applyFill="1" applyBorder="1" applyAlignment="1">
      <x:alignment vertical="top" wrapText="1"/>
    </x:xf>
    <x:xf numFmtId="203" fontId="0" fillId="5" borderId="32" xfId="0" applyNumberFormat="1" applyFont="1" applyFill="1" applyBorder="1" applyAlignment="1">
      <x:alignment vertical="top" wrapText="1"/>
    </x:xf>
    <x:xf numFmtId="0" fontId="0" fillId="5" borderId="33" xfId="0" applyNumberFormat="1" applyFont="1" applyFill="1" applyBorder="1" applyAlignment="1">
      <x:alignment vertical="top" wrapText="1"/>
    </x:xf>
    <x:xf numFmtId="0" fontId="0" fillId="8" borderId="0" xfId="0" applyNumberFormat="1" applyFont="1" applyFill="1" applyBorder="1"/>
    <x:xf numFmtId="0" fontId="11" fillId="8" borderId="0" xfId="0" applyNumberFormat="1" applyFont="1" applyFill="1" applyBorder="1"/>
    <x:xf numFmtId="0" fontId="11" fillId="8" borderId="34" xfId="0" applyNumberFormat="1" applyFont="1" applyFill="1" applyBorder="1"/>
    <x:xf numFmtId="0" fontId="11" fillId="8" borderId="35" xfId="0" applyNumberFormat="1" applyFont="1" applyFill="1" applyBorder="1"/>
    <x:xf numFmtId="0" fontId="11" fillId="8" borderId="36" xfId="0" applyNumberFormat="1" applyFont="1" applyFill="1" applyBorder="1"/>
    <x:xf numFmtId="0" fontId="11" fillId="8" borderId="37" xfId="0" applyNumberFormat="1" applyFont="1" applyFill="1" applyBorder="1"/>
    <x:xf numFmtId="0" fontId="11" fillId="8" borderId="38" xfId="0" applyNumberFormat="1" applyFont="1" applyFill="1" applyBorder="1"/>
    <x:xf numFmtId="0" fontId="11" fillId="8" borderId="39" xfId="0" applyNumberFormat="1" applyFont="1" applyFill="1" applyBorder="1"/>
    <x:xf numFmtId="0" fontId="11" fillId="8" borderId="40" xfId="0" applyNumberFormat="1" applyFont="1" applyFill="1" applyBorder="1"/>
    <x:xf numFmtId="0" fontId="11" fillId="8" borderId="41" xfId="0" applyNumberFormat="1" applyFont="1" applyFill="1" applyBorder="1"/>
    <x:xf numFmtId="0" fontId="11" fillId="8" borderId="34" xfId="0" applyNumberFormat="1" applyFont="1" applyFill="1" applyBorder="1" applyAlignment="1">
      <x:alignment wrapText="1"/>
    </x:xf>
    <x:xf numFmtId="0" fontId="11" fillId="8" borderId="35" xfId="0" applyNumberFormat="1" applyFont="1" applyFill="1" applyBorder="1" applyAlignment="1">
      <x:alignment wrapText="1"/>
    </x:xf>
    <x:xf numFmtId="0" fontId="11" fillId="8" borderId="36" xfId="0" applyNumberFormat="1" applyFont="1" applyFill="1" applyBorder="1" applyAlignment="1">
      <x:alignment wrapText="1"/>
    </x:xf>
    <x:xf numFmtId="0" fontId="11" fillId="8" borderId="37" xfId="0" applyNumberFormat="1" applyFont="1" applyFill="1" applyBorder="1" applyAlignment="1">
      <x:alignment wrapText="1"/>
    </x:xf>
    <x:xf numFmtId="0" fontId="11" fillId="8" borderId="0" xfId="0" applyNumberFormat="1" applyFont="1" applyFill="1" applyBorder="1" applyAlignment="1">
      <x:alignment wrapText="1"/>
    </x:xf>
    <x:xf numFmtId="0" fontId="11" fillId="8" borderId="38" xfId="0" applyNumberFormat="1" applyFont="1" applyFill="1" applyBorder="1" applyAlignment="1">
      <x:alignment wrapText="1"/>
    </x:xf>
    <x:xf numFmtId="0" fontId="11" fillId="8" borderId="39" xfId="0" applyNumberFormat="1" applyFont="1" applyFill="1" applyBorder="1" applyAlignment="1">
      <x:alignment wrapText="1"/>
    </x:xf>
    <x:xf numFmtId="0" fontId="11" fillId="8" borderId="40" xfId="0" applyNumberFormat="1" applyFont="1" applyFill="1" applyBorder="1" applyAlignment="1">
      <x:alignment wrapText="1"/>
    </x:xf>
    <x:xf numFmtId="0" fontId="11" fillId="8" borderId="41" xfId="0" applyNumberFormat="1" applyFont="1" applyFill="1" applyBorder="1" applyAlignment="1">
      <x:alignment wrapText="1"/>
    </x:xf>
    <x:xf numFmtId="0" fontId="11" fillId="8" borderId="34" xfId="0" applyNumberFormat="1" applyFont="1" applyFill="1" applyBorder="1" applyAlignment="1">
      <x:alignment vertical="center" wrapText="1"/>
    </x:xf>
    <x:xf numFmtId="0" fontId="11" fillId="8" borderId="35" xfId="0" applyNumberFormat="1" applyFont="1" applyFill="1" applyBorder="1" applyAlignment="1">
      <x:alignment vertical="center" wrapText="1"/>
    </x:xf>
    <x:xf numFmtId="0" fontId="11" fillId="8" borderId="36" xfId="0" applyNumberFormat="1" applyFont="1" applyFill="1" applyBorder="1" applyAlignment="1">
      <x:alignment vertical="center" wrapText="1"/>
    </x:xf>
    <x:xf numFmtId="0" fontId="11" fillId="8" borderId="37" xfId="0" applyNumberFormat="1" applyFont="1" applyFill="1" applyBorder="1" applyAlignment="1">
      <x:alignment vertical="center" wrapText="1"/>
    </x:xf>
    <x:xf numFmtId="0" fontId="11" fillId="8" borderId="0" xfId="0" applyNumberFormat="1" applyFont="1" applyFill="1" applyBorder="1" applyAlignment="1">
      <x:alignment vertical="center" wrapText="1"/>
    </x:xf>
    <x:xf numFmtId="0" fontId="11" fillId="8" borderId="38" xfId="0" applyNumberFormat="1" applyFont="1" applyFill="1" applyBorder="1" applyAlignment="1">
      <x:alignment vertical="center" wrapText="1"/>
    </x:xf>
    <x:xf numFmtId="0" fontId="11" fillId="8" borderId="39" xfId="0" applyNumberFormat="1" applyFont="1" applyFill="1" applyBorder="1" applyAlignment="1">
      <x:alignment vertical="center" wrapText="1"/>
    </x:xf>
    <x:xf numFmtId="0" fontId="11" fillId="8" borderId="40" xfId="0" applyNumberFormat="1" applyFont="1" applyFill="1" applyBorder="1" applyAlignment="1">
      <x:alignment vertical="center" wrapText="1"/>
    </x:xf>
    <x:xf numFmtId="0" fontId="11" fillId="8" borderId="41" xfId="0" applyNumberFormat="1" applyFont="1" applyFill="1" applyBorder="1" applyAlignment="1">
      <x:alignment vertical="center" wrapText="1"/>
    </x:xf>
    <x:xf numFmtId="0" fontId="0" fillId="5" borderId="25" xfId="0" applyNumberFormat="1" applyFont="1" applyFill="1" applyBorder="1" applyAlignment="1">
      <x:alignment vertical="center" wrapText="1"/>
    </x:xf>
    <x:xf numFmtId="0" fontId="0" fillId="5" borderId="26" xfId="0" applyNumberFormat="1" applyFont="1" applyFill="1" applyBorder="1" applyAlignment="1">
      <x:alignment vertical="center" wrapText="1"/>
    </x:xf>
    <x:xf numFmtId="201" fontId="0" fillId="5" borderId="26" xfId="0" applyNumberFormat="1" applyFont="1" applyFill="1" applyBorder="1" applyAlignment="1">
      <x:alignment vertical="center" wrapText="1"/>
    </x:xf>
    <x:xf numFmtId="203" fontId="0" fillId="5" borderId="26" xfId="0" applyNumberFormat="1" applyFont="1" applyFill="1" applyBorder="1" applyAlignment="1">
      <x:alignment vertical="center" wrapText="1"/>
    </x:xf>
    <x:xf numFmtId="0" fontId="0" fillId="5" borderId="27" xfId="0" applyNumberFormat="1" applyFont="1" applyFill="1" applyBorder="1" applyAlignment="1">
      <x:alignment vertical="center" wrapText="1"/>
    </x:xf>
    <x:xf numFmtId="0" fontId="0" fillId="5" borderId="28" xfId="0" applyNumberFormat="1" applyFont="1" applyFill="1" applyBorder="1" applyAlignment="1">
      <x:alignment vertical="center" wrapText="1"/>
    </x:xf>
    <x:xf numFmtId="0" fontId="0" fillId="5" borderId="29" xfId="0" applyNumberFormat="1" applyFont="1" applyFill="1" applyBorder="1" applyAlignment="1">
      <x:alignment vertical="center" wrapText="1"/>
    </x:xf>
    <x:xf numFmtId="201" fontId="0" fillId="5" borderId="29" xfId="0" applyNumberFormat="1" applyFont="1" applyFill="1" applyBorder="1" applyAlignment="1">
      <x:alignment vertical="center" wrapText="1"/>
    </x:xf>
    <x:xf numFmtId="203" fontId="0" fillId="5" borderId="29" xfId="0" applyNumberFormat="1" applyFont="1" applyFill="1" applyBorder="1" applyAlignment="1">
      <x:alignment vertical="center" wrapText="1"/>
    </x:xf>
    <x:xf numFmtId="0" fontId="0" fillId="5" borderId="30" xfId="0" applyNumberFormat="1" applyFont="1" applyFill="1" applyBorder="1" applyAlignment="1">
      <x:alignment vertical="center" wrapText="1"/>
    </x:xf>
    <x:xf numFmtId="0" fontId="0" fillId="5" borderId="31" xfId="0" applyNumberFormat="1" applyFont="1" applyFill="1" applyBorder="1" applyAlignment="1">
      <x:alignment vertical="center" wrapText="1"/>
    </x:xf>
    <x:xf numFmtId="0" fontId="0" fillId="5" borderId="32" xfId="0" applyNumberFormat="1" applyFont="1" applyFill="1" applyBorder="1" applyAlignment="1">
      <x:alignment vertical="center" wrapText="1"/>
    </x:xf>
    <x:xf numFmtId="201" fontId="0" fillId="5" borderId="32" xfId="0" applyNumberFormat="1" applyFont="1" applyFill="1" applyBorder="1" applyAlignment="1">
      <x:alignment vertical="center" wrapText="1"/>
    </x:xf>
    <x:xf numFmtId="203" fontId="0" fillId="5" borderId="32" xfId="0" applyNumberFormat="1" applyFont="1" applyFill="1" applyBorder="1" applyAlignment="1">
      <x:alignment vertical="center" wrapText="1"/>
    </x:xf>
    <x:xf numFmtId="0" fontId="0" fillId="5" borderId="33" xfId="0" applyNumberFormat="1" applyFont="1" applyFill="1" applyBorder="1" applyAlignment="1">
      <x:alignment vertical="center" wrapText="1"/>
    </x:xf>
    <x:xf numFmtId="0" fontId="12" fillId="2" borderId="0" xfId="0" applyNumberFormat="1" applyFont="1" applyFill="1" applyBorder="1" applyAlignment="1">
      <x:alignment vertical="center"/>
    </x:xf>
    <x:xf numFmtId="0" fontId="13" fillId="4" borderId="0" xfId="0" applyNumberFormat="1" applyFont="1" applyFill="1" applyBorder="1" applyAlignment="1">
      <x:alignment vertical="center"/>
    </x:xf>
    <x:xf numFmtId="0" fontId="14" fillId="0" borderId="0" xfId="0" applyNumberFormat="1" applyFont="1" applyFill="1" applyBorder="1"/>
    <x:xf numFmtId="0" fontId="12" fillId="2" borderId="0" xfId="0" applyNumberFormat="1" applyFont="1" applyFill="1" applyBorder="1" applyAlignment="1">
      <x:alignment vertical="center" wrapText="1"/>
    </x:xf>
    <x:xf numFmtId="0" fontId="14" fillId="0" borderId="0" xfId="0" applyNumberFormat="1" applyFont="1" applyFill="1" applyBorder="1" applyAlignment="1">
      <x:alignment vertical="top" wrapText="1"/>
    </x:xf>
    <x:xf numFmtId="201" fontId="14" fillId="0" borderId="0" xfId="0" applyNumberFormat="1" applyFont="1" applyFill="1" applyBorder="1" applyAlignment="1">
      <x:alignment vertical="top" wrapText="1"/>
    </x:xf>
    <x:xf numFmtId="202" fontId="14" fillId="0" borderId="0" xfId="0" applyNumberFormat="1" applyFont="1" applyFill="1" applyBorder="1" applyAlignment="1">
      <x:alignment vertical="top" wrapText="1"/>
    </x:xf>
    <x:xf numFmtId="203" fontId="14" fillId="0" borderId="0" xfId="0" applyNumberFormat="1" applyFont="1" applyFill="1" applyBorder="1" applyAlignment="1">
      <x:alignment vertical="top" wrapText="1"/>
    </x:xf>
    <x:xf numFmtId="0" fontId="12" fillId="2" borderId="0" xfId="0" applyNumberFormat="1" applyFont="1" applyFill="1" applyBorder="1" applyAlignment="1">
      <x:alignment wrapText="1"/>
    </x:xf>
    <x:xf numFmtId="0" fontId="14" fillId="0" borderId="0" xfId="0" applyNumberFormat="1" applyFont="1" applyFill="1" applyBorder="1" applyAlignment="1">
      <x:alignment vertical="top"/>
    </x:xf>
    <x:xf numFmtId="201" fontId="14" fillId="0" borderId="0" xfId="0" applyNumberFormat="1" applyFont="1" applyFill="1" applyBorder="1" applyAlignment="1">
      <x:alignment vertical="top"/>
    </x:xf>
    <x:xf numFmtId="202" fontId="14" fillId="0" borderId="0" xfId="0" applyNumberFormat="1" applyFont="1" applyFill="1" applyBorder="1" applyAlignment="1">
      <x:alignment vertical="top"/>
    </x:xf>
    <x:xf numFmtId="0" fontId="12" fillId="2" borderId="0" xfId="0" applyNumberFormat="1" applyFont="1" applyFill="1" applyBorder="1"/>
    <x:xf numFmtId="0" fontId="15" fillId="3" borderId="0" xfId="0" applyNumberFormat="1" applyFont="1" applyFill="1" applyBorder="1" applyAlignment="1">
      <x:alignment wrapText="1"/>
    </x:xf>
    <x:xf numFmtId="0" fontId="14" fillId="0" borderId="0" xfId="0" applyNumberFormat="1" applyFont="1" applyFill="1" applyBorder="1" applyAlignment="1">
      <x:alignment wrapText="1"/>
    </x:xf>
    <x:xf numFmtId="201" fontId="14" fillId="0" borderId="0" xfId="0" applyNumberFormat="1" applyFont="1" applyFill="1" applyBorder="1" applyAlignment="1">
      <x:alignment wrapText="1"/>
    </x:xf>
    <x:xf numFmtId="203" fontId="14" fillId="0" borderId="0" xfId="0" applyNumberFormat="1" applyFont="1" applyFill="1" applyBorder="1" applyAlignment="1">
      <x:alignment wrapText="1"/>
    </x:xf>
  </x:cellXfs>
  <x:cellStyles count="1">
    <x:cellStyle name="Normal" xfId="0"/>
  </x:cellStyles>
  <x:dxfs count="3">
    <x:dxf>
      <x:font>
        <x:color rgb="FF215E21"/>
      </x:font>
      <x:fill>
        <x:patternFill patternType="solid">
          <x:bgColor rgb="FFE2F0D9"/>
        </x:patternFill>
      </x:fill>
    </x:dxf>
    <x:dxf>
      <x:font>
        <x:color rgb="FF9C5700"/>
      </x:font>
      <x:fill>
        <x:patternFill patternType="solid">
          <x:bgColor rgb="FFFCE4D6"/>
        </x:patternFill>
      </x:fill>
    </x:dxf>
    <x:dxf>
      <x:font>
        <x:color rgb="FF9C0006"/>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6b2c616f8543bb" /><Relationship Type="http://schemas.openxmlformats.org/officeDocument/2006/relationships/theme" Target="/xl/theme/theme1.xml" Id="R1ffb431d388e465a" /><Relationship Type="http://schemas.openxmlformats.org/officeDocument/2006/relationships/sharedStrings" Target="/xl/sharedStrings.xml" Id="R7d08746d2e69450a" /><Relationship Type="http://schemas.openxmlformats.org/officeDocument/2006/relationships/worksheet" Target="/xl/worksheets/sheet1.xml" Id="R87094d69067b4a5b" /><Relationship Type="http://schemas.openxmlformats.org/officeDocument/2006/relationships/worksheet" Target="/xl/worksheets/sheet2.xml" Id="Raed3fb87a1b64126" /><Relationship Type="http://schemas.openxmlformats.org/officeDocument/2006/relationships/worksheet" Target="/xl/worksheets/sheet3.xml" Id="Rabfb79e22a8d40e0" /><Relationship Type="http://schemas.openxmlformats.org/officeDocument/2006/relationships/worksheet" Target="/xl/worksheets/sheet4.xml" Id="Rc792ac1f00cc49eb" /><Relationship Type="http://schemas.openxmlformats.org/officeDocument/2006/relationships/worksheet" Target="/xl/worksheets/sheet5.xml" Id="R84a6d24b87ed4d0c" /></Relationships>
</file>

<file path=xl/tables/table1.xml><?xml version="1.0" encoding="utf-8"?>
<x:table xmlns:x="http://schemas.openxmlformats.org/spreadsheetml/2006/main" id="1" name="Radar30Table" displayName="Radar30Table" ref="A5:Z35" headerRowCount="1" totalsRowCount="0" totalsRowShown="0">
  <x:autoFilter ref="A5:Z35"/>
  <x:tableColumns count="26">
    <x:tableColumn id="1" name="Rang"/>
    <x:tableColumn id="2" name="Statut"/>
    <x:tableColumn id="3" name="Priorité"/>
    <x:tableColumn id="4" name="Produit / niche"/>
    <x:tableColumn id="5" name="Marché pilote"/>
    <x:tableColumn id="6" name="Volume SEMrush / mois"/>
    <x:tableColumn id="7" name="Autre marché"/>
    <x:tableColumn id="8" name="Volume autre marché"/>
    <x:tableColumn id="9" name="Entreprise témoin"/>
    <x:tableColumn id="10" name="Visites mensuelles"/>
    <x:tableColumn id="11" name="Google Ads actives"/>
    <x:tableColumn id="12" name="Meta Ads actives"/>
    <x:tableColumn id="13" name="Prix moyen boutique (USD)"/>
    <x:tableColumn id="14" name="Prix moyen approx. (EUR)"/>
    <x:tableColumn id="15" name="Trends 52/52"/>
    <x:tableColumn id="16" name="Prix / lecture SERP"/>
    <x:tableColumn id="17" name="Verdict / gate"/>
    <x:tableColumn id="18" name="Risque principal"/>
    <x:tableColumn id="19" name="Requête AliExpress manuelle"/>
    <x:tableColumn id="20" name="Lien fournisseur AliExpress"/>
    <x:tableColumn id="21" name="URL BrandSearch"/>
    <x:tableColumn id="22" name="Source web"/>
    <x:tableColumn id="23" name="Observé"/>
    <x:tableColumn id="24" name="Manquant"/>
    <x:tableColumn id="25" name="Hypothèse"/>
    <x:tableColumn id="26" name="Rapport"/>
  </x:tableColumns>
  <x:tableStyleInfo name="TableStyleLight9" showFirstColumn="0" showLastColumn="0" showRowStripes="1" showColumnStripes="0"/>
</x:table>
</file>

<file path=xl/tables/table2.xml><?xml version="1.0" encoding="utf-8"?>
<x:table xmlns:x="http://schemas.openxmlformats.org/spreadsheetml/2006/main" id="2" name="BrandSearch216Table" displayName="BrandSearch216Table" ref="A1:N217" headerRowCount="1" totalsRowCount="0" totalsRowShown="0">
  <x:autoFilter ref="A1:N217"/>
  <x:tableColumns count="14">
    <x:tableColumn id="1" name="Pays"/>
    <x:tableColumn id="2" name="Domaine"/>
    <x:tableColumn id="3" name="Niche"/>
    <x:tableColumn id="4" name="Visites mensuelles"/>
    <x:tableColumn id="5" name="Google Ads actives"/>
    <x:tableColumn id="6" name="Meta Ads actives"/>
    <x:tableColumn id="7" name="Prix moyen USD"/>
    <x:tableColumn id="8" name="Prix moyen EUR"/>
    <x:tableColumn id="9" name="Prix min USD"/>
    <x:tableColumn id="10" name="Prix max USD"/>
    <x:tableColumn id="11" name="Nombre produits"/>
    <x:tableColumn id="12" name="Produits génériques"/>
    <x:tableColumn id="13" name="Description"/>
    <x:tableColumn id="14" name="URL BrandSearch"/>
  </x:tableColumns>
  <x:tableStyleInfo name="TableStyleLight9" showFirstColumn="0" showLastColumn="0" showRowStripes="1" showColumnStripes="0"/>
</x:table>
</file>

<file path=xl/tables/table3.xml><?xml version="1.0" encoding="utf-8"?>
<x:table xmlns:x="http://schemas.openxmlformats.org/spreadsheetml/2006/main" id="3" name="MeasuresTable" displayName="MeasuresTable" ref="A4:H52" headerRowCount="1" totalsRowCount="0" totalsRowShown="0">
  <x:autoFilter ref="A4:H52"/>
  <x:tableColumns count="8">
    <x:tableColumn id="1" name="Produit / niche"/>
    <x:tableColumn id="2" name="Marché"/>
    <x:tableColumn id="3" name="Requête SEMrush"/>
    <x:tableColumn id="4" name="Mode"/>
    <x:tableColumn id="5" name="Volume mensuel"/>
    <x:tableColumn id="6" name="Google Trends 52/52"/>
    <x:tableColumn id="7" name="Lecture"/>
    <x:tableColumn id="8" name="Source"/>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13c75ec0fdf489a" /></Relationships>
</file>

<file path=xl/worksheets/_rels/sheet3.xml.rels>&#65279;<?xml version="1.0" encoding="utf-8"?><Relationships xmlns="http://schemas.openxmlformats.org/package/2006/relationships"><Relationship Type="http://schemas.openxmlformats.org/officeDocument/2006/relationships/table" Target="/xl/tables/table2.xml" Id="Reb28bab8f0a8425d" /></Relationships>
</file>

<file path=xl/worksheets/_rels/sheet4.xml.rels>&#65279;<?xml version="1.0" encoding="utf-8"?><Relationships xmlns="http://schemas.openxmlformats.org/package/2006/relationships"><Relationship Type="http://schemas.openxmlformats.org/officeDocument/2006/relationships/table" Target="/xl/tables/table3.xml" Id="R19b7d40e4a6d4ffc"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34" hidden="0" customWidth="1"/>
    <x:col min="3" max="3" width="16" hidden="0" customWidth="1"/>
    <x:col min="4" max="4" width="16" hidden="0" customWidth="1"/>
    <x:col min="5" max="5" width="14" hidden="0" customWidth="1"/>
    <x:col min="6" max="6" width="34" hidden="0" customWidth="1"/>
    <x:col min="7" max="7" width="18" hidden="0" customWidth="1"/>
    <x:col min="8" max="8" width="18" hidden="0" customWidth="1"/>
  </x:cols>
  <x:sheetData>
    <x:row r="1">
      <x:c r="A1" s="35" t="str">
        <x:v>SYNTHÈSE — CHASSE PRODUITS MULTI-MARCHÉS</x:v>
      </x:c>
      <x:c r="B1" s="35"/>
      <x:c r="C1" s="35"/>
      <x:c r="D1" s="35"/>
      <x:c r="E1" s="35"/>
      <x:c r="F1" s="35"/>
      <x:c r="G1" s="35"/>
      <x:c r="H1" s="35"/>
    </x:row>
    <x:row r="2">
      <x:c r="A2" s="35"/>
      <x:c r="B2" s="35"/>
      <x:c r="C2" s="35"/>
      <x:c r="D2" s="35"/>
      <x:c r="E2" s="35"/>
      <x:c r="F2" s="35"/>
      <x:c r="G2" s="35"/>
      <x:c r="H2" s="35"/>
    </x:row>
    <x:row r="3">
      <x:c r="A3" s="16" t="str">
        <x:v>Run 20260720-200609 · BrandSearch + SEMrush + Trends + SERP · Sourcing AliExpress bloqué et documenté</x:v>
      </x:c>
      <x:c r="B3" s="16"/>
      <x:c r="C3" s="16"/>
      <x:c r="D3" s="16"/>
      <x:c r="E3" s="16"/>
      <x:c r="F3" s="16"/>
      <x:c r="G3" s="16"/>
      <x:c r="H3" s="16"/>
    </x:row>
    <x:row r="4">
      <x:c r="A4" s="9"/>
      <x:c r="B4" s="9"/>
      <x:c r="C4" s="9"/>
      <x:c r="D4" s="9"/>
      <x:c r="E4" s="9"/>
      <x:c r="F4" s="9"/>
      <x:c r="G4" s="9"/>
      <x:c r="H4" s="9"/>
    </x:row>
    <x:row r="5">
      <x:c r="A5" s="50" t="str">
        <x:v>VALIDÉS</x:v>
      </x:c>
      <x:c r="B5" s="51"/>
      <x:c r="C5" s="70" t="str">
        <x:v>À CREUSER</x:v>
      </x:c>
      <x:c r="D5" s="71"/>
      <x:c r="E5" s="90" t="str">
        <x:v>EXCLUS</x:v>
      </x:c>
      <x:c r="F5" s="91"/>
      <x:c r="G5" s="109" t="str">
        <x:v>ENTREPRISES FILTRÉES</x:v>
      </x:c>
      <x:c r="H5" s="110"/>
    </x:row>
    <x:row r="6">
      <x:c r="A6" s="115" t="n">
        <x:f>COUNTIF('Radar 30'!$B$6:$B$35,"VALIDÉ")</x:f>
        <x:v>8</x:v>
      </x:c>
      <x:c r="B6" s="116"/>
      <x:c r="C6" s="117" t="n">
        <x:f>COUNTIF('Radar 30'!$B$6:$B$35,"À CREUSER")</x:f>
        <x:v>16</x:v>
      </x:c>
      <x:c r="D6" s="118"/>
      <x:c r="E6" s="119" t="n">
        <x:f>COUNTIF('Radar 30'!$B$6:$B$35,"EXCLU")</x:f>
        <x:v>6</x:v>
      </x:c>
      <x:c r="F6" s="120"/>
      <x:c r="G6" s="121" t="n">
        <x:f>COUNTA('Entreprises 216'!$B$2:$B$217)</x:f>
        <x:v>216</x:v>
      </x:c>
      <x:c r="H6" s="122"/>
    </x:row>
    <x:row r="7">
      <x:c r="A7" s="123"/>
      <x:c r="B7" s="124"/>
      <x:c r="C7" s="125"/>
      <x:c r="D7" s="126"/>
      <x:c r="E7" s="127"/>
      <x:c r="F7" s="128"/>
      <x:c r="G7" s="129"/>
      <x:c r="H7" s="130"/>
    </x:row>
    <x:row r="8">
      <x:c r="A8" s="9"/>
      <x:c r="B8" s="9"/>
      <x:c r="C8" s="9"/>
      <x:c r="D8" s="9"/>
      <x:c r="E8" s="9"/>
      <x:c r="F8" s="9"/>
      <x:c r="G8" s="9"/>
      <x:c r="H8" s="9"/>
    </x:row>
    <x:row r="9">
      <x:c r="A9" s="9"/>
      <x:c r="B9" s="9"/>
      <x:c r="C9" s="9"/>
      <x:c r="D9" s="9"/>
      <x:c r="E9" s="9"/>
      <x:c r="F9" s="9"/>
      <x:c r="G9" s="9"/>
      <x:c r="H9" s="9"/>
    </x:row>
    <x:row r="10">
      <x:c r="A10" s="19" t="str">
        <x:v>Priorité</x:v>
      </x:c>
      <x:c r="B10" s="19" t="str">
        <x:v>Produit / niche</x:v>
      </x:c>
      <x:c r="C10" s="19" t="str">
        <x:v>Marché pilote</x:v>
      </x:c>
      <x:c r="D10" s="19" t="str">
        <x:v>Volume / mois</x:v>
      </x:c>
      <x:c r="E10" s="19" t="str">
        <x:v>Tendance</x:v>
      </x:c>
      <x:c r="F10" s="19" t="str">
        <x:v>Action suivante</x:v>
      </x:c>
      <x:c r="G10" s="9"/>
      <x:c r="H10" s="9"/>
    </x:row>
    <x:row r="11" ht="34" customHeight="1">
      <x:c r="A11" s="206" t="n">
        <x:f>'Radar 30'!C6</x:f>
        <x:v>1</x:v>
      </x:c>
      <x:c r="B11" s="207" t="str">
        <x:f>'Radar 30'!D6</x:f>
        <x:v>Housse de voiture sur mesure intérieure/extérieure</x:v>
      </x:c>
      <x:c r="C11" s="207" t="str">
        <x:f>'Radar 30'!E6</x:f>
        <x:v>FR</x:v>
      </x:c>
      <x:c r="D11" s="208" t="n">
        <x:f>'Radar 30'!F6</x:f>
        <x:v>105710</x:v>
      </x:c>
      <x:c r="E11" s="209" t="n">
        <x:f>IF('Radar 30'!O6="","",'Radar 30'!O6)</x:f>
        <x:v>0.072</x:v>
      </x:c>
      <x:c r="F11" s="210" t="str">
        <x:f>'Radar 30'!Q6</x:f>
        <x:v>RETENU_MARCHE_A_SOURCER</x:v>
      </x:c>
      <x:c r="G11" s="9"/>
      <x:c r="H11" s="9"/>
    </x:row>
    <x:row r="12" ht="34" customHeight="1">
      <x:c r="A12" s="211" t="n">
        <x:f>'Radar 30'!C7</x:f>
        <x:v>1</x:v>
      </x:c>
      <x:c r="B12" s="212" t="str">
        <x:f>'Radar 30'!D7</x:f>
        <x:v>Fauteuil suspendu avec pied</x:v>
      </x:c>
      <x:c r="C12" s="212" t="str">
        <x:f>'Radar 30'!E7</x:f>
        <x:v>FR</x:v>
      </x:c>
      <x:c r="D12" s="213" t="n">
        <x:f>'Radar 30'!F7</x:f>
        <x:v>72520</x:v>
      </x:c>
      <x:c r="E12" s="214" t="n">
        <x:f>IF('Radar 30'!O7="","",'Radar 30'!O7)</x:f>
        <x:v>-0.033</x:v>
      </x:c>
      <x:c r="F12" s="215" t="str">
        <x:f>'Radar 30'!Q7</x:f>
        <x:v>RETENU_MARCHE_A_SOURCER</x:v>
      </x:c>
      <x:c r="G12" s="9"/>
      <x:c r="H12" s="9"/>
    </x:row>
    <x:row r="13" ht="34" customHeight="1">
      <x:c r="A13" s="211" t="n">
        <x:f>'Radar 30'!C8</x:f>
        <x:v>1</x:v>
      </x:c>
      <x:c r="B13" s="212" t="str">
        <x:f>'Radar 30'!D8</x:f>
        <x:v>Évier de cuisine inox/granit avec robinet</x:v>
      </x:c>
      <x:c r="C13" s="212" t="str">
        <x:f>'Radar 30'!E8</x:f>
        <x:v>FR</x:v>
      </x:c>
      <x:c r="D13" s="213" t="n">
        <x:f>'Radar 30'!F8</x:f>
        <x:v>73800</x:v>
      </x:c>
      <x:c r="E13" s="214" t="n">
        <x:f>IF('Radar 30'!O8="","",'Radar 30'!O8)</x:f>
        <x:v>0.187</x:v>
      </x:c>
      <x:c r="F13" s="215" t="str">
        <x:f>'Radar 30'!Q8</x:f>
        <x:v>RETENU_MARCHE_A_SOURCER</x:v>
      </x:c>
      <x:c r="G13" s="9"/>
      <x:c r="H13" s="9"/>
    </x:row>
    <x:row r="14" ht="34" customHeight="1">
      <x:c r="A14" s="211" t="n">
        <x:f>'Radar 30'!C9</x:f>
        <x:v>1</x:v>
      </x:c>
      <x:c r="B14" s="212" t="str">
        <x:f>'Radar 30'!D9</x:f>
        <x:v>Housses de sièges auto sur mesure</x:v>
      </x:c>
      <x:c r="C14" s="212" t="str">
        <x:f>'Radar 30'!E9</x:f>
        <x:v>UK</x:v>
      </x:c>
      <x:c r="D14" s="213" t="n">
        <x:f>'Radar 30'!F9</x:f>
        <x:v>118480</x:v>
      </x:c>
      <x:c r="E14" s="214" t="n">
        <x:f>IF('Radar 30'!O9="","",'Radar 30'!O9)</x:f>
        <x:v>0.16</x:v>
      </x:c>
      <x:c r="F14" s="215" t="str">
        <x:f>'Radar 30'!Q9</x:f>
        <x:v>RETENU_MARCHE_A_SOURCER — UK</x:v>
      </x:c>
      <x:c r="G14" s="9"/>
      <x:c r="H14" s="9"/>
    </x:row>
    <x:row r="15" ht="34" customHeight="1">
      <x:c r="A15" s="211" t="n">
        <x:f>'Radar 30'!C10</x:f>
        <x:v>2</x:v>
      </x:c>
      <x:c r="B15" s="212" t="str">
        <x:f>'Radar 30'!D10</x:f>
        <x:v>Valise cabine premium 20 pouces / set compact</x:v>
      </x:c>
      <x:c r="C15" s="212" t="str">
        <x:f>'Radar 30'!E10</x:f>
        <x:v>ES</x:v>
      </x:c>
      <x:c r="D15" s="213" t="n">
        <x:f>'Radar 30'!F10</x:f>
        <x:v>79620</x:v>
      </x:c>
      <x:c r="E15" s="214" t="str">
        <x:f>IF('Radar 30'!O10="","",'Radar 30'!O10)</x:f>
      </x:c>
      <x:c r="F15" s="215" t="str">
        <x:f>'Radar 30'!Q10</x:f>
        <x:v>RETENU_MARCHE_A_SOURCER — ES</x:v>
      </x:c>
      <x:c r="G15" s="9"/>
      <x:c r="H15" s="9"/>
    </x:row>
    <x:row r="16" ht="34" customHeight="1">
      <x:c r="A16" s="211" t="n">
        <x:f>'Radar 30'!C11</x:f>
        <x:v>2</x:v>
      </x:c>
      <x:c r="B16" s="212" t="str">
        <x:f>'Radar 30'!D11</x:f>
        <x:v>Haltères réglables 20–40 kg</x:v>
      </x:c>
      <x:c r="C16" s="212" t="str">
        <x:f>'Radar 30'!E11</x:f>
        <x:v>FR</x:v>
      </x:c>
      <x:c r="D16" s="213" t="n">
        <x:f>'Radar 30'!F11</x:f>
        <x:v>11090</x:v>
      </x:c>
      <x:c r="E16" s="214" t="str">
        <x:f>IF('Radar 30'!O11="","",'Radar 30'!O11)</x:f>
      </x:c>
      <x:c r="F16" s="215" t="str">
        <x:f>'Radar 30'!Q11</x:f>
        <x:v>RETENU_MARCHE_A_SOURCER</x:v>
      </x:c>
      <x:c r="G16" s="9"/>
      <x:c r="H16" s="9"/>
    </x:row>
    <x:row r="17" ht="34" customHeight="1">
      <x:c r="A17" s="211" t="n">
        <x:f>'Radar 30'!C12</x:f>
        <x:v>2</x:v>
      </x:c>
      <x:c r="B17" s="212" t="str">
        <x:f>'Radar 30'!D12</x:f>
        <x:v>Parure de lit premium / hôtelière</x:v>
      </x:c>
      <x:c r="C17" s="212" t="str">
        <x:f>'Radar 30'!E12</x:f>
        <x:v>UK</x:v>
      </x:c>
      <x:c r="D17" s="213" t="n">
        <x:f>'Radar 30'!F12</x:f>
        <x:v>19990</x:v>
      </x:c>
      <x:c r="E17" s="214" t="n">
        <x:f>IF('Radar 30'!O12="","",'Radar 30'!O12)</x:f>
        <x:v>0.418</x:v>
      </x:c>
      <x:c r="F17" s="215" t="str">
        <x:f>'Radar 30'!Q12</x:f>
        <x:v>RETENU_MARCHE_A_SOURCER — UK</x:v>
      </x:c>
      <x:c r="G17" s="9"/>
      <x:c r="H17" s="9"/>
    </x:row>
    <x:row r="18" ht="34" customHeight="1">
      <x:c r="A18" s="216" t="n">
        <x:f>'Radar 30'!C13</x:f>
        <x:v>2</x:v>
      </x:c>
      <x:c r="B18" s="217" t="str">
        <x:f>'Radar 30'!D13</x:f>
        <x:v>Meuble-cage pour chien / double niche intérieure</x:v>
      </x:c>
      <x:c r="C18" s="217" t="str">
        <x:f>'Radar 30'!E13</x:f>
        <x:v>UK</x:v>
      </x:c>
      <x:c r="D18" s="218" t="n">
        <x:f>'Radar 30'!F13</x:f>
        <x:v>13280</x:v>
      </x:c>
      <x:c r="E18" s="219" t="n">
        <x:f>IF('Radar 30'!O13="","",'Radar 30'!O13)</x:f>
        <x:v>0.182</x:v>
      </x:c>
      <x:c r="F18" s="220" t="str">
        <x:f>'Radar 30'!Q13</x:f>
        <x:v>RETENU_MARCHE_A_SOURCER — UK</x:v>
      </x:c>
      <x:c r="G18" s="9"/>
      <x:c r="H18" s="9"/>
    </x:row>
    <x:row r="19">
      <x:c r="A19" s="9"/>
      <x:c r="B19" s="9"/>
      <x:c r="C19" s="9"/>
      <x:c r="D19" s="9"/>
      <x:c r="E19" s="9"/>
      <x:c r="F19" s="9"/>
      <x:c r="G19" s="9"/>
      <x:c r="H19" s="9"/>
    </x:row>
    <x:row r="20">
      <x:c r="A20" s="9"/>
      <x:c r="B20" s="9"/>
      <x:c r="C20" s="9"/>
      <x:c r="D20" s="9"/>
      <x:c r="E20" s="9"/>
      <x:c r="F20" s="9"/>
      <x:c r="G20" s="9"/>
      <x:c r="H20" s="9"/>
    </x:row>
    <x:row r="21">
      <x:c r="A21" s="10" t="str">
        <x:v>Marché</x:v>
      </x:c>
      <x:c r="B21" s="10" t="str">
        <x:v>Entreprises filtrées</x:v>
      </x:c>
      <x:c r="C21" s="10" t="str">
        <x:v>Règle</x:v>
      </x:c>
      <x:c r="D21" s="9"/>
      <x:c r="E21" s="9"/>
      <x:c r="F21" s="9"/>
      <x:c r="G21" s="9"/>
      <x:c r="H21" s="9"/>
    </x:row>
    <x:row r="22">
      <x:c r="A22" s="9" t="str">
        <x:v>France</x:v>
      </x:c>
      <x:c r="B22" s="12" t="n">
        <x:f>COUNTIF('Entreprises 216'!$A$2:$A$217,"FR")</x:f>
        <x:v>32</x:v>
      </x:c>
      <x:c r="C22" s="9" t="str">
        <x:v>Google ≥1 · Meta =0 · prix moyen 85–400 EUR</x:v>
      </x:c>
      <x:c r="D22" s="9"/>
      <x:c r="E22" s="9"/>
      <x:c r="F22" s="9"/>
      <x:c r="G22" s="9"/>
      <x:c r="H22" s="9"/>
    </x:row>
    <x:row r="23">
      <x:c r="A23" s="9" t="str">
        <x:v>Allemagne</x:v>
      </x:c>
      <x:c r="B23" s="12" t="n">
        <x:f>COUNTIF('Entreprises 216'!$A$2:$A$217,"DE")</x:f>
        <x:v>38</x:v>
      </x:c>
      <x:c r="C23" s="9" t="str">
        <x:v>Google ≥1 · Meta =0 · prix moyen 85–400 EUR</x:v>
      </x:c>
      <x:c r="D23" s="9"/>
      <x:c r="E23" s="9"/>
      <x:c r="F23" s="9"/>
      <x:c r="G23" s="9"/>
      <x:c r="H23" s="9"/>
    </x:row>
    <x:row r="24">
      <x:c r="A24" s="9" t="str">
        <x:v>Royaume-Uni</x:v>
      </x:c>
      <x:c r="B24" s="12" t="n">
        <x:f>COUNTIF('Entreprises 216'!$A$2:$A$217,"GB")</x:f>
        <x:v>29</x:v>
      </x:c>
      <x:c r="C24" s="9" t="str">
        <x:v>Google ≥1 · Meta =0 · prix moyen 85–400 EUR</x:v>
      </x:c>
      <x:c r="D24" s="9"/>
      <x:c r="E24" s="9"/>
      <x:c r="F24" s="9"/>
      <x:c r="G24" s="9"/>
      <x:c r="H24" s="9"/>
    </x:row>
    <x:row r="25">
      <x:c r="A25" s="9" t="str">
        <x:v>Espagne</x:v>
      </x:c>
      <x:c r="B25" s="12" t="n">
        <x:f>COUNTIF('Entreprises 216'!$A$2:$A$217,"ES")</x:f>
        <x:v>27</x:v>
      </x:c>
      <x:c r="C25" s="9" t="str">
        <x:v>Google ≥1 · Meta =0 · prix moyen 85–400 EUR</x:v>
      </x:c>
      <x:c r="D25" s="9"/>
      <x:c r="E25" s="9"/>
      <x:c r="F25" s="9"/>
      <x:c r="G25" s="9"/>
      <x:c r="H25" s="9"/>
    </x:row>
    <x:row r="26">
      <x:c r="A26" s="9" t="str">
        <x:v>Italie</x:v>
      </x:c>
      <x:c r="B26" s="12" t="n">
        <x:f>COUNTIF('Entreprises 216'!$A$2:$A$217,"IT")</x:f>
        <x:v>46</x:v>
      </x:c>
      <x:c r="C26" s="9" t="str">
        <x:v>Google ≥1 · Meta =0 · prix moyen 85–400 EUR</x:v>
      </x:c>
      <x:c r="D26" s="9"/>
      <x:c r="E26" s="9"/>
      <x:c r="F26" s="9"/>
      <x:c r="G26" s="9"/>
      <x:c r="H26" s="9"/>
    </x:row>
    <x:row r="27">
      <x:c r="A27" s="9" t="str">
        <x:v>Pays-Bas</x:v>
      </x:c>
      <x:c r="B27" s="12" t="n">
        <x:f>COUNTIF('Entreprises 216'!$A$2:$A$217,"NL")</x:f>
        <x:v>23</x:v>
      </x:c>
      <x:c r="C27" s="9" t="str">
        <x:v>Google ≥1 · Meta =0 · prix moyen 85–400 EUR</x:v>
      </x:c>
      <x:c r="D27" s="9"/>
      <x:c r="E27" s="9"/>
      <x:c r="F27" s="9"/>
      <x:c r="G27" s="9"/>
      <x:c r="H27" s="9"/>
    </x:row>
    <x:row r="28">
      <x:c r="A28" s="9" t="str">
        <x:v>Belgique</x:v>
      </x:c>
      <x:c r="B28" s="12" t="n">
        <x:f>COUNTIF('Entreprises 216'!$A$2:$A$217,"BE")</x:f>
        <x:v>21</x:v>
      </x:c>
      <x:c r="C28" s="9" t="str">
        <x:v>Google ≥1 · Meta =0 · prix moyen 85–400 EUR</x:v>
      </x:c>
      <x:c r="D28" s="9"/>
      <x:c r="E28" s="9"/>
      <x:c r="F28" s="9"/>
      <x:c r="G28" s="9"/>
      <x:c r="H28" s="9"/>
    </x:row>
    <x:row r="29">
      <x:c r="A29" s="9"/>
      <x:c r="B29" s="9"/>
      <x:c r="C29" s="9"/>
      <x:c r="D29" s="9"/>
      <x:c r="E29" s="9"/>
      <x:c r="F29" s="9"/>
      <x:c r="G29" s="9"/>
      <x:c r="H29" s="9"/>
    </x:row>
    <x:row r="30">
      <x:c r="A30" s="197" t="str">
        <x:v>Important : vert signifie « marché retenu pour sourcing manuel ». Aucun fournisseur AliExpress, prix livré, délai, stock, certificat ou lancement n'est validé à ce stade.</x:v>
      </x:c>
      <x:c r="B30" s="198"/>
      <x:c r="C30" s="198"/>
      <x:c r="D30" s="198"/>
      <x:c r="E30" s="198"/>
      <x:c r="F30" s="198"/>
      <x:c r="G30" s="198"/>
      <x:c r="H30" s="199"/>
    </x:row>
    <x:row r="31">
      <x:c r="A31" s="200"/>
      <x:c r="B31" s="201"/>
      <x:c r="C31" s="201"/>
      <x:c r="D31" s="201"/>
      <x:c r="E31" s="201"/>
      <x:c r="F31" s="201"/>
      <x:c r="G31" s="201"/>
      <x:c r="H31" s="202"/>
    </x:row>
    <x:row r="32">
      <x:c r="A32" s="203"/>
      <x:c r="B32" s="204"/>
      <x:c r="C32" s="204"/>
      <x:c r="D32" s="204"/>
      <x:c r="E32" s="204"/>
      <x:c r="F32" s="204"/>
      <x:c r="G32" s="204"/>
      <x:c r="H32" s="205"/>
    </x:row>
  </x:sheetData>
  <x:mergeCells>
    <x:mergeCell ref="A1:H2"/>
    <x:mergeCell ref="A3:H3"/>
    <x:mergeCell ref="A5:B5"/>
    <x:mergeCell ref="C5:D5"/>
    <x:mergeCell ref="E5:F5"/>
    <x:mergeCell ref="G5:H5"/>
    <x:mergeCell ref="A6:B7"/>
    <x:mergeCell ref="C6:D7"/>
    <x:mergeCell ref="E6:F7"/>
    <x:mergeCell ref="G6:H7"/>
    <x:mergeCell ref="A30:H3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14" hidden="0" customWidth="1"/>
    <x:col min="3" max="3" width="8" hidden="0" customWidth="1"/>
    <x:col min="4" max="4" width="30" hidden="0" customWidth="1"/>
    <x:col min="5" max="5" width="12" hidden="0" customWidth="1"/>
    <x:col min="6" max="6" width="15" hidden="0" customWidth="1"/>
    <x:col min="7" max="7" width="13" hidden="0" customWidth="1"/>
    <x:col min="8" max="8" width="15" hidden="0" customWidth="1"/>
    <x:col min="9" max="9" width="24" hidden="0" customWidth="1"/>
    <x:col min="10" max="10" width="14" hidden="0" customWidth="1"/>
    <x:col min="11" max="11" width="12" hidden="0" customWidth="1"/>
    <x:col min="12" max="12" width="12" hidden="0" customWidth="1"/>
    <x:col min="13" max="13" width="14" hidden="0" customWidth="1"/>
    <x:col min="14" max="14" width="14" hidden="0" customWidth="1"/>
    <x:col min="15" max="15" width="12" hidden="0" customWidth="1"/>
    <x:col min="16" max="16" width="28" hidden="0" customWidth="1"/>
    <x:col min="17" max="17" width="26" hidden="0" customWidth="1"/>
    <x:col min="18" max="18" width="30" hidden="0" customWidth="1"/>
    <x:col min="19" max="19" width="42" hidden="0" customWidth="1"/>
    <x:col min="20" max="20" width="24" hidden="0" customWidth="1"/>
    <x:col min="21" max="21" width="34" hidden="0" customWidth="1"/>
    <x:col min="22" max="22" width="34" hidden="0" customWidth="1"/>
    <x:col min="23" max="23" width="34" hidden="0" customWidth="1"/>
    <x:col min="24" max="24" width="30" hidden="0" customWidth="1"/>
    <x:col min="25" max="25" width="30" hidden="0" customWidth="1"/>
    <x:col min="26" max="26" width="38" hidden="0" customWidth="1"/>
  </x:cols>
  <x:sheetData>
    <x:row r="1">
      <x:c r="A1" s="221" t="str">
        <x:v>RADAR MULTI-MARCHÉS — 30 PRODUITS / NICHES</x:v>
      </x:c>
      <x:c r="B1" s="221"/>
      <x:c r="C1" s="221"/>
      <x:c r="D1" s="221"/>
      <x:c r="E1" s="221"/>
      <x:c r="F1" s="221"/>
      <x:c r="G1" s="221"/>
      <x:c r="H1" s="221"/>
      <x:c r="I1" s="221"/>
      <x:c r="J1" s="221"/>
      <x:c r="K1" s="221"/>
      <x:c r="L1" s="221"/>
      <x:c r="M1" s="221"/>
      <x:c r="N1" s="221"/>
      <x:c r="O1" s="221"/>
      <x:c r="P1" s="221"/>
      <x:c r="Q1" s="221"/>
      <x:c r="R1" s="221"/>
      <x:c r="S1" s="221"/>
      <x:c r="T1" s="221"/>
      <x:c r="U1" s="221"/>
      <x:c r="V1" s="221"/>
      <x:c r="W1" s="221"/>
      <x:c r="X1" s="221"/>
      <x:c r="Y1" s="221"/>
      <x:c r="Z1" s="221"/>
    </x:row>
    <x:row r="2">
      <x:c r="A2" s="221"/>
      <x:c r="B2" s="221"/>
      <x:c r="C2" s="221"/>
      <x:c r="D2" s="221"/>
      <x:c r="E2" s="221"/>
      <x:c r="F2" s="221"/>
      <x:c r="G2" s="221"/>
      <x:c r="H2" s="221"/>
      <x:c r="I2" s="221"/>
      <x:c r="J2" s="221"/>
      <x:c r="K2" s="221"/>
      <x:c r="L2" s="221"/>
      <x:c r="M2" s="221"/>
      <x:c r="N2" s="221"/>
      <x:c r="O2" s="221"/>
      <x:c r="P2" s="221"/>
      <x:c r="Q2" s="221"/>
      <x:c r="R2" s="221"/>
      <x:c r="S2" s="221"/>
      <x:c r="T2" s="221"/>
      <x:c r="U2" s="221"/>
      <x:c r="V2" s="221"/>
      <x:c r="W2" s="221"/>
      <x:c r="X2" s="221"/>
      <x:c r="Y2" s="221"/>
      <x:c r="Z2" s="221"/>
    </x:row>
    <x:row r="3">
      <x:c r="A3" s="222" t="str">
        <x:v>Vert = marché retenu à sourcer · Orange = preuve réelle mais condition · Rouge = exclusion · Aucun lien fournisseur n'a été inventé</x:v>
      </x:c>
      <x:c r="B3" s="222"/>
      <x:c r="C3" s="222"/>
      <x:c r="D3" s="222"/>
      <x:c r="E3" s="222"/>
      <x:c r="F3" s="222"/>
      <x:c r="G3" s="222"/>
      <x:c r="H3" s="222"/>
      <x:c r="I3" s="222"/>
      <x:c r="J3" s="222"/>
      <x:c r="K3" s="222"/>
      <x:c r="L3" s="222"/>
      <x:c r="M3" s="222"/>
      <x:c r="N3" s="222"/>
      <x:c r="O3" s="222"/>
      <x:c r="P3" s="222"/>
      <x:c r="Q3" s="222"/>
      <x:c r="R3" s="222"/>
      <x:c r="S3" s="222"/>
      <x:c r="T3" s="222"/>
      <x:c r="U3" s="222"/>
      <x:c r="V3" s="222"/>
      <x:c r="W3" s="222"/>
      <x:c r="X3" s="222"/>
      <x:c r="Y3" s="222"/>
      <x:c r="Z3" s="222"/>
    </x:row>
    <x:row r="4">
      <x:c r="A4" s="223"/>
      <x:c r="B4" s="223"/>
      <x:c r="C4" s="223"/>
      <x:c r="D4" s="223"/>
      <x:c r="E4" s="223"/>
      <x:c r="F4" s="223"/>
      <x:c r="G4" s="223"/>
      <x:c r="H4" s="223"/>
      <x:c r="I4" s="223"/>
      <x:c r="J4" s="223"/>
      <x:c r="K4" s="223"/>
      <x:c r="L4" s="223"/>
      <x:c r="M4" s="223"/>
      <x:c r="N4" s="223"/>
      <x:c r="O4" s="223"/>
      <x:c r="P4" s="223"/>
      <x:c r="Q4" s="223"/>
      <x:c r="R4" s="223"/>
      <x:c r="S4" s="223"/>
      <x:c r="T4" s="223"/>
      <x:c r="U4" s="223"/>
      <x:c r="V4" s="223"/>
      <x:c r="W4" s="223"/>
      <x:c r="X4" s="223"/>
      <x:c r="Y4" s="223"/>
      <x:c r="Z4" s="223"/>
    </x:row>
    <x:row r="5">
      <x:c r="A5" s="224" t="str">
        <x:v>Rang</x:v>
      </x:c>
      <x:c r="B5" s="224" t="str">
        <x:v>Statut</x:v>
      </x:c>
      <x:c r="C5" s="224" t="str">
        <x:v>Priorité</x:v>
      </x:c>
      <x:c r="D5" s="224" t="str">
        <x:v>Produit / niche</x:v>
      </x:c>
      <x:c r="E5" s="224" t="str">
        <x:v>Marché pilote</x:v>
      </x:c>
      <x:c r="F5" s="224" t="str">
        <x:v>Volume SEMrush / mois</x:v>
      </x:c>
      <x:c r="G5" s="224" t="str">
        <x:v>Autre marché</x:v>
      </x:c>
      <x:c r="H5" s="224" t="str">
        <x:v>Volume autre marché</x:v>
      </x:c>
      <x:c r="I5" s="224" t="str">
        <x:v>Entreprise témoin</x:v>
      </x:c>
      <x:c r="J5" s="224" t="str">
        <x:v>Visites mensuelles</x:v>
      </x:c>
      <x:c r="K5" s="224" t="str">
        <x:v>Google Ads actives</x:v>
      </x:c>
      <x:c r="L5" s="224" t="str">
        <x:v>Meta Ads actives</x:v>
      </x:c>
      <x:c r="M5" s="224" t="str">
        <x:v>Prix moyen boutique (USD)</x:v>
      </x:c>
      <x:c r="N5" s="224" t="str">
        <x:v>Prix moyen approx. (EUR)</x:v>
      </x:c>
      <x:c r="O5" s="224" t="str">
        <x:v>Trends 52/52</x:v>
      </x:c>
      <x:c r="P5" s="224" t="str">
        <x:v>Prix / lecture SERP</x:v>
      </x:c>
      <x:c r="Q5" s="224" t="str">
        <x:v>Verdict / gate</x:v>
      </x:c>
      <x:c r="R5" s="224" t="str">
        <x:v>Risque principal</x:v>
      </x:c>
      <x:c r="S5" s="224" t="str">
        <x:v>Requête AliExpress manuelle</x:v>
      </x:c>
      <x:c r="T5" s="224" t="str">
        <x:v>Lien fournisseur AliExpress</x:v>
      </x:c>
      <x:c r="U5" s="224" t="str">
        <x:v>URL BrandSearch</x:v>
      </x:c>
      <x:c r="V5" s="224" t="str">
        <x:v>Source web</x:v>
      </x:c>
      <x:c r="W5" s="224" t="str">
        <x:v>Observé</x:v>
      </x:c>
      <x:c r="X5" s="224" t="str">
        <x:v>Manquant</x:v>
      </x:c>
      <x:c r="Y5" s="224" t="str">
        <x:v>Hypothèse</x:v>
      </x:c>
      <x:c r="Z5" s="224" t="str">
        <x:v>Rapport</x:v>
      </x:c>
    </x:row>
    <x:row r="6" ht="54" customHeight="1">
      <x:c r="A6" s="225" t="n">
        <x:v>1</x:v>
      </x:c>
      <x:c r="B6" s="225" t="str">
        <x:v>VALIDÉ</x:v>
      </x:c>
      <x:c r="C6" s="225" t="n">
        <x:v>1</x:v>
      </x:c>
      <x:c r="D6" s="225" t="str">
        <x:v>Housse de voiture sur mesure intérieure/extérieure</x:v>
      </x:c>
      <x:c r="E6" s="225" t="str">
        <x:v>FR</x:v>
      </x:c>
      <x:c r="F6" s="226" t="n">
        <x:v>105710</x:v>
      </x:c>
      <x:c r="G6" s="226" t="str">
        <x:v>UK</x:v>
      </x:c>
      <x:c r="H6" s="226" t="n">
        <x:v>64460</x:v>
      </x:c>
      <x:c r="I6" s="225" t="str">
        <x:v>ukcustomcovers.com</x:v>
      </x:c>
      <x:c r="J6" s="226" t="n">
        <x:v>28819</x:v>
      </x:c>
      <x:c r="K6" s="226" t="n">
        <x:v>40</x:v>
      </x:c>
      <x:c r="L6" s="226" t="n">
        <x:v>0</x:v>
      </x:c>
      <x:c r="M6" s="227" t="n">
        <x:v>131.26</x:v>
      </x:c>
      <x:c r="N6" s="227" t="n">
        <x:f>M6/'Méthode'!$B$5</x:f>
        <x:v>114.78793178836904</x:v>
      </x:c>
      <x:c r="O6" s="228" t="n">
        <x:v>0.072</x:v>
      </x:c>
      <x:c r="P6" s="225" t="str">
        <x:v>UK 121,94–211,27 GBP ; plusieurs spécialistes FR/UK</x:v>
      </x:c>
      <x:c r="Q6" s="225" t="str">
        <x:v>RETENU_MARCHE_A_SOURCER</x:v>
      </x:c>
      <x:c r="R6" s="225" t="str">
        <x:v>Gabarits véhicule/année, humidité, rayures et retours</x:v>
      </x:c>
      <x:c r="S6" s="225" t="str">
        <x:v>custom fit car cover waterproof breathable make model year EU warehouse</x:v>
      </x:c>
      <x:c r="T6" s="225" t="str"/>
      <x:c r="U6" s="225" t="str">
        <x:v>https://app.brandsearch.co/brand-analysis/ukcustomcovers.com</x:v>
      </x:c>
      <x:c r="V6" s="225" t="str">
        <x:v>https://www.coversandall.co.uk/vehicle-covers/car-covers-sc</x:v>
      </x:c>
      <x:c r="W6" s="225" t="str">
        <x:v>FR et UK au-dessus de 10K ; Trends FR +7,2 %, UK +40,6 %</x:v>
      </x:c>
      <x:c r="X6" s="225" t="str">
        <x:v>Fournisseur, coût rendu, stock et délai</x:v>
      </x:c>
      <x:c r="Y6" s="225" t="str">
        <x:v>Un modèle respirant réellement ajusté peut soutenir un prix premium</x:v>
      </x:c>
      <x:c r="Z6" s="225" t="str">
        <x:v>/Users/Hakim/Documents/Boutiques drop/boutique-pipeline/codex-chasse-clusters/reports/validation-multimarche-brandsearch-20260720-200609-a1.md</x:v>
      </x:c>
    </x:row>
    <x:row r="7" ht="54" customHeight="1">
      <x:c r="A7" s="225" t="n">
        <x:v>2</x:v>
      </x:c>
      <x:c r="B7" s="225" t="str">
        <x:v>VALIDÉ</x:v>
      </x:c>
      <x:c r="C7" s="225" t="n">
        <x:v>1</x:v>
      </x:c>
      <x:c r="D7" s="225" t="str">
        <x:v>Fauteuil suspendu avec pied</x:v>
      </x:c>
      <x:c r="E7" s="225" t="str">
        <x:v>FR</x:v>
      </x:c>
      <x:c r="F7" s="226" t="n">
        <x:v>72520</x:v>
      </x:c>
      <x:c r="G7" s="226" t="str">
        <x:v>DE</x:v>
      </x:c>
      <x:c r="H7" s="226" t="n">
        <x:v>236300</x:v>
      </x:c>
      <x:c r="I7" s="225" t="str">
        <x:v>www.lasiesta.com</x:v>
      </x:c>
      <x:c r="J7" s="226" t="n">
        <x:v>139613</x:v>
      </x:c>
      <x:c r="K7" s="226" t="n">
        <x:v>40</x:v>
      </x:c>
      <x:c r="L7" s="226" t="n">
        <x:v>0</x:v>
      </x:c>
      <x:c r="M7" s="227" t="n">
        <x:v>274.62</x:v>
      </x:c>
      <x:c r="N7" s="227" t="n">
        <x:f>M7/'Méthode'!$B$5</x:f>
        <x:v>240.15741145605597</x:v>
      </x:c>
      <x:c r="O7" s="228" t="n">
        <x:v>-0.033</x:v>
      </x:c>
      <x:c r="P7" s="225" t="str">
        <x:v>Produits premium observés autour de 290–350 EUR</x:v>
      </x:c>
      <x:c r="Q7" s="225" t="str">
        <x:v>RETENU_MARCHE_A_SOURCER</x:v>
      </x:c>
      <x:c r="R7" s="225" t="str">
        <x:v>Colis volumineux, charge, stabilité, structure et pièces</x:v>
      </x:c>
      <x:c r="S7" s="225" t="str">
        <x:v>fauteuil suspendu avec pied résine tressée 150 kg entrepôt Europe</x:v>
      </x:c>
      <x:c r="T7" s="225" t="str"/>
      <x:c r="U7" s="225" t="str">
        <x:v>https://app.brandsearch.co/brand-analysis/lasiesta.com</x:v>
      </x:c>
      <x:c r="V7" s="225" t="str">
        <x:v>https://www.lasiesta.com/</x:v>
      </x:c>
      <x:c r="W7" s="225" t="str">
        <x:v>FR et DE très au-dessus de 10K ; acteur à 139 613 visites/mois</x:v>
      </x:c>
      <x:c r="X7" s="225" t="str">
        <x:v>Fournisseur, dimensions colis, coût retour et conformité</x:v>
      </x:c>
      <x:c r="Y7" s="225" t="str">
        <x:v>Un bundle pied + assise + housse peut rester défendable malgré la saisonnalité</x:v>
      </x:c>
      <x:c r="Z7" s="225" t="str">
        <x:v>/Users/Hakim/Documents/Boutiques drop/boutique-pipeline/codex-chasse-clusters/reports/validation-multimarche-brandsearch-20260720-200609-a1.md</x:v>
      </x:c>
    </x:row>
    <x:row r="8" ht="54" customHeight="1">
      <x:c r="A8" s="225" t="n">
        <x:v>3</x:v>
      </x:c>
      <x:c r="B8" s="225" t="str">
        <x:v>VALIDÉ</x:v>
      </x:c>
      <x:c r="C8" s="225" t="n">
        <x:v>1</x:v>
      </x:c>
      <x:c r="D8" s="225" t="str">
        <x:v>Évier de cuisine inox/granit avec robinet</x:v>
      </x:c>
      <x:c r="E8" s="225" t="str">
        <x:v>FR</x:v>
      </x:c>
      <x:c r="F8" s="226" t="n">
        <x:v>73800</x:v>
      </x:c>
      <x:c r="G8" s="226" t="str">
        <x:v>IT</x:v>
      </x:c>
      <x:c r="H8" s="226" t="n">
        <x:v>255630</x:v>
      </x:c>
      <x:c r="I8" s="225" t="str">
        <x:v>evhoc.it</x:v>
      </x:c>
      <x:c r="J8" s="226" t="n">
        <x:v>9866</x:v>
      </x:c>
      <x:c r="K8" s="226" t="n">
        <x:v>40</x:v>
      </x:c>
      <x:c r="L8" s="226" t="n">
        <x:v>0</x:v>
      </x:c>
      <x:c r="M8" s="227" t="n">
        <x:v>326.4</x:v>
      </x:c>
      <x:c r="N8" s="227" t="n">
        <x:f>M8/'Méthode'!$B$5</x:f>
        <x:v>285.4394403148229</x:v>
      </x:c>
      <x:c r="O8" s="228" t="n">
        <x:v>0.187</x:v>
      </x:c>
      <x:c r="P8" s="225" t="str">
        <x:v>Lapeyre : nombreuses références 91,50–597 EUR</x:v>
      </x:c>
      <x:c r="Q8" s="225" t="str">
        <x:v>RETENU_MARCHE_A_SOURCER</x:v>
      </x:c>
      <x:c r="R8" s="225" t="str">
        <x:v>Dimensions, inox réel, bonde, raccords, fuite et casse</x:v>
      </x:c>
      <x:c r="S8" s="225" t="str">
        <x:v>304 stainless kitchen sink waterfall faucet set drain basket EU warehouse</x:v>
      </x:c>
      <x:c r="T8" s="225" t="str"/>
      <x:c r="U8" s="225" t="str">
        <x:v>https://app.brandsearch.co/brand-analysis/evhoc.it</x:v>
      </x:c>
      <x:c r="V8" s="225" t="str">
        <x:v>https://www.lapeyre.fr/v/evier-avec-robinetterie</x:v>
      </x:c>
      <x:c r="W8" s="225" t="str">
        <x:v>FR et IT très au-dessus de 10K ; Trends FR +18,7 %</x:v>
      </x:c>
      <x:c r="X8" s="225" t="str">
        <x:v>Fournisseur, coût rendu, matériaux et contenu exact</x:v>
      </x:c>
      <x:c r="Y8" s="225" t="str">
        <x:v>Un kit complet documenté peut se différencier des cuves nues</x:v>
      </x:c>
      <x:c r="Z8" s="225" t="str">
        <x:v>/Users/Hakim/Documents/Boutiques drop/boutique-pipeline/codex-chasse-clusters/reports/validation-multimarche-brandsearch-20260720-200609-a1.md</x:v>
      </x:c>
    </x:row>
    <x:row r="9" ht="54" customHeight="1">
      <x:c r="A9" s="225" t="n">
        <x:v>4</x:v>
      </x:c>
      <x:c r="B9" s="225" t="str">
        <x:v>VALIDÉ</x:v>
      </x:c>
      <x:c r="C9" s="225" t="n">
        <x:v>1</x:v>
      </x:c>
      <x:c r="D9" s="225" t="str">
        <x:v>Housses de sièges auto sur mesure</x:v>
      </x:c>
      <x:c r="E9" s="225" t="str">
        <x:v>UK</x:v>
      </x:c>
      <x:c r="F9" s="226" t="n">
        <x:v>118480</x:v>
      </x:c>
      <x:c r="G9" s="226" t="str">
        <x:v>FR</x:v>
      </x:c>
      <x:c r="H9" s="226" t="n">
        <x:v>6550</x:v>
      </x:c>
      <x:c r="I9" s="225" t="str">
        <x:v>carfurnisher.com</x:v>
      </x:c>
      <x:c r="J9" s="226" t="n">
        <x:v>11643</x:v>
      </x:c>
      <x:c r="K9" s="226" t="n">
        <x:v>40</x:v>
      </x:c>
      <x:c r="L9" s="226" t="n">
        <x:v>0</x:v>
      </x:c>
      <x:c r="M9" s="227" t="n">
        <x:v>354.08</x:v>
      </x:c>
      <x:c r="N9" s="227" t="n">
        <x:f>M9/'Méthode'!$B$5</x:f>
        <x:v>309.64582422387406</x:v>
      </x:c>
      <x:c r="O9" s="228" t="n">
        <x:v>0.16</x:v>
      </x:c>
      <x:c r="P9" s="225" t="str">
        <x:v>Bancarel FR : 159,80–390,15 EUR</x:v>
      </x:c>
      <x:c r="Q9" s="225" t="str">
        <x:v>RETENU_MARCHE_A_SOURCER — UK</x:v>
      </x:c>
      <x:c r="R9" s="225" t="str">
        <x:v>Airbags latéraux, gabarits, année/modèle et erreurs de commande</x:v>
      </x:c>
      <x:c r="S9" s="225" t="str">
        <x:v>custom fit car seat cover full set side airbag compatible EU warehouse UK</x:v>
      </x:c>
      <x:c r="T9" s="225" t="str"/>
      <x:c r="U9" s="225" t="str">
        <x:v>https://app.brandsearch.co/brand-analysis/carfurnisher.com</x:v>
      </x:c>
      <x:c r="V9" s="225" t="str">
        <x:v>https://www.bancarel.com/fr/121-housses-auto-sur-mesure</x:v>
      </x:c>
      <x:c r="W9" s="225" t="str">
        <x:v>UK au-dessus de 10K ; Trends UK +16 %</x:v>
      </x:c>
      <x:c r="X9" s="225" t="str">
        <x:v>Fournisseur, matrice de compatibilité et preuve airbag</x:v>
      </x:c>
      <x:c r="Y9" s="225" t="str">
        <x:v>Le Royaume-Uni est le marché pilote ; la France reste sous le seuil</x:v>
      </x:c>
      <x:c r="Z9" s="225" t="str">
        <x:v>/Users/Hakim/Documents/Boutiques drop/boutique-pipeline/codex-chasse-clusters/reports/validation-multimarche-brandsearch-20260720-200609-a1.md</x:v>
      </x:c>
    </x:row>
    <x:row r="10" ht="54" customHeight="1">
      <x:c r="A10" s="225" t="n">
        <x:v>5</x:v>
      </x:c>
      <x:c r="B10" s="225" t="str">
        <x:v>VALIDÉ</x:v>
      </x:c>
      <x:c r="C10" s="225" t="n">
        <x:v>2</x:v>
      </x:c>
      <x:c r="D10" s="225" t="str">
        <x:v>Valise cabine premium 20 pouces / set compact</x:v>
      </x:c>
      <x:c r="E10" s="225" t="str">
        <x:v>ES</x:v>
      </x:c>
      <x:c r="F10" s="226" t="n">
        <x:v>79620</x:v>
      </x:c>
      <x:c r="G10" s="226" t="str"/>
      <x:c r="H10" s="226"/>
      <x:c r="I10" s="225" t="str">
        <x:v>traveltienda.es</x:v>
      </x:c>
      <x:c r="J10" s="226" t="n">
        <x:v>8871</x:v>
      </x:c>
      <x:c r="K10" s="226" t="n">
        <x:v>40</x:v>
      </x:c>
      <x:c r="L10" s="226" t="n">
        <x:v>0</x:v>
      </x:c>
      <x:c r="M10" s="227" t="n">
        <x:v>213.56</x:v>
      </x:c>
      <x:c r="N10" s="227" t="n">
        <x:f>M10/'Méthode'!$B$5</x:f>
        <x:v>186.75994752951465</x:v>
      </x:c>
      <x:c r="O10" s="228"/>
      <x:c r="P10" s="225" t="str">
        <x:v>Nombreux planchers &lt;60 EUR ; prix moyen boutique 213,56 USD</x:v>
      </x:c>
      <x:c r="Q10" s="225" t="str">
        <x:v>RETENU_MARCHE_A_SOURCER — ES</x:v>
      </x:c>
      <x:c r="R10" s="225" t="str">
        <x:v>Dimensions compagnies, roues, poignée, serrure TSA et pièces</x:v>
      </x:c>
      <x:c r="S10" s="225" t="str">
        <x:v>premium carry on luggage 20 inch TSA removable wheels EU warehouse Spain</x:v>
      </x:c>
      <x:c r="T10" s="225" t="str"/>
      <x:c r="U10" s="225" t="str">
        <x:v>https://app.brandsearch.co/brand-analysis/traveltienda.es</x:v>
      </x:c>
      <x:c r="V10" s="225" t="str">
        <x:v>https://elpais.com/escaparate/estilo-de-vida/2026-05-07/maleta-de-cabina.html</x:v>
      </x:c>
      <x:c r="W10" s="225" t="str">
        <x:v>ES 79 620/mois ; boutique spécialisée de 29 produits</x:v>
      </x:c>
      <x:c r="X10" s="225" t="str">
        <x:v>Fournisseur, résistance, pièces et coût livré</x:v>
      </x:c>
      <x:c r="Y10" s="225" t="str">
        <x:v>Seul un angle premium objectivement prouvé évite la guerre des prix</x:v>
      </x:c>
      <x:c r="Z10" s="225" t="str">
        <x:v>/Users/Hakim/Documents/Boutiques drop/boutique-pipeline/codex-chasse-clusters/reports/validation-multimarche-brandsearch-20260720-200609-a1.md</x:v>
      </x:c>
    </x:row>
    <x:row r="11" ht="54" customHeight="1">
      <x:c r="A11" s="225" t="n">
        <x:v>6</x:v>
      </x:c>
      <x:c r="B11" s="225" t="str">
        <x:v>VALIDÉ</x:v>
      </x:c>
      <x:c r="C11" s="225" t="n">
        <x:v>2</x:v>
      </x:c>
      <x:c r="D11" s="225" t="str">
        <x:v>Haltères réglables 20–40 kg</x:v>
      </x:c>
      <x:c r="E11" s="225" t="str">
        <x:v>FR</x:v>
      </x:c>
      <x:c r="F11" s="226" t="n">
        <x:v>11090</x:v>
      </x:c>
      <x:c r="G11" s="226" t="str">
        <x:v>ES</x:v>
      </x:c>
      <x:c r="H11" s="226" t="n">
        <x:v>13930</x:v>
      </x:c>
      <x:c r="I11" s="225" t="str">
        <x:v>www.gorillasports.es</x:v>
      </x:c>
      <x:c r="J11" s="226" t="n">
        <x:v>7431</x:v>
      </x:c>
      <x:c r="K11" s="226" t="n">
        <x:v>40</x:v>
      </x:c>
      <x:c r="L11" s="226" t="n">
        <x:v>0</x:v>
      </x:c>
      <x:c r="M11" s="227" t="n">
        <x:v>159.59</x:v>
      </x:c>
      <x:c r="N11" s="227" t="n">
        <x:f>M11/'Méthode'!$B$5</x:f>
        <x:v>139.5627459554001</x:v>
      </x:c>
      <x:c r="O11" s="228"/>
      <x:c r="P11" s="225" t="str">
        <x:v>Prix moyen boutique 159,59 USD ; deux acteurs Search-only</x:v>
      </x:c>
      <x:c r="Q11" s="225" t="str">
        <x:v>RETENU_MARCHE_A_SOURCER</x:v>
      </x:c>
      <x:c r="R11" s="225" t="str">
        <x:v>Verrouillage, chute de disques, charge réelle, pièces et colis lourd</x:v>
      </x:c>
      <x:c r="S11" s="225" t="str">
        <x:v>adjustable dumbbell pair 24kg 40kg safety lock EU warehouse</x:v>
      </x:c>
      <x:c r="T11" s="225" t="str"/>
      <x:c r="U11" s="225" t="str">
        <x:v>https://app.brandsearch.co/brand-analysis/gorillasports.es</x:v>
      </x:c>
      <x:c r="V11" s="225" t="str">
        <x:v>https://www.gorillasports.es/</x:v>
      </x:c>
      <x:c r="W11" s="225" t="str">
        <x:v>FR et ES juste au-dessus de 10K</x:v>
      </x:c>
      <x:c r="X11" s="225" t="str">
        <x:v>Fournisseur, test mécanique, coût et casse transport</x:v>
      </x:c>
      <x:c r="Y11" s="225" t="str">
        <x:v>Un mécanisme fiable et des pièces disponibles sont indispensables</x:v>
      </x:c>
      <x:c r="Z11" s="225" t="str">
        <x:v>/Users/Hakim/Documents/Boutiques drop/boutique-pipeline/codex-chasse-clusters/reports/validation-multimarche-brandsearch-20260720-200609-a1.md</x:v>
      </x:c>
    </x:row>
    <x:row r="12" ht="54" customHeight="1">
      <x:c r="A12" s="225" t="n">
        <x:v>7</x:v>
      </x:c>
      <x:c r="B12" s="225" t="str">
        <x:v>VALIDÉ</x:v>
      </x:c>
      <x:c r="C12" s="225" t="n">
        <x:v>2</x:v>
      </x:c>
      <x:c r="D12" s="225" t="str">
        <x:v>Parure de lit premium / hôtelière</x:v>
      </x:c>
      <x:c r="E12" s="225" t="str">
        <x:v>UK</x:v>
      </x:c>
      <x:c r="F12" s="226" t="n">
        <x:v>19990</x:v>
      </x:c>
      <x:c r="G12" s="226" t="str"/>
      <x:c r="H12" s="226"/>
      <x:c r="I12" s="225" t="str">
        <x:v>beddingenvy.co.uk</x:v>
      </x:c>
      <x:c r="J12" s="226" t="n">
        <x:v>100422</x:v>
      </x:c>
      <x:c r="K12" s="226" t="n">
        <x:v>40</x:v>
      </x:c>
      <x:c r="L12" s="226" t="n">
        <x:v>0</x:v>
      </x:c>
      <x:c r="M12" s="227" t="n">
        <x:v>329.02</x:v>
      </x:c>
      <x:c r="N12" s="227" t="n">
        <x:f>M12/'Méthode'!$B$5</x:f>
        <x:v>287.7306515085264</x:v>
      </x:c>
      <x:c r="O12" s="228" t="n">
        <x:v>0.418</x:v>
      </x:c>
      <x:c r="P12" s="225" t="str">
        <x:v>Bamboo set observé dès env. 110 GBP ; marché de marques</x:v>
      </x:c>
      <x:c r="Q12" s="225" t="str">
        <x:v>RETENU_MARCHE_A_SOURCER — UK</x:v>
      </x:c>
      <x:c r="R12" s="225" t="str">
        <x:v>Matière, grammage, tailles, retrait, couleur et retours hygiène</x:v>
      </x:c>
      <x:c r="S12" s="225" t="str">
        <x:v>luxury hotel bedding set cotton bamboo king size EU warehouse UK</x:v>
      </x:c>
      <x:c r="T12" s="225" t="str"/>
      <x:c r="U12" s="225" t="str">
        <x:v>https://app.brandsearch.co/brand-analysis/beddingenvy.co.uk</x:v>
      </x:c>
      <x:c r="V12" s="225" t="str">
        <x:v>https://www.livingetc.com/advice/where-to-buy-bedding</x:v>
      </x:c>
      <x:c r="W12" s="225" t="str">
        <x:v>UK 19 990/mois ; Trends +41,8 % ; 100 422 visites témoin</x:v>
      </x:c>
      <x:c r="X12" s="225" t="str">
        <x:v>Fournisseur, composition certifiée et stabilité au lavage</x:v>
      </x:c>
      <x:c r="Y12" s="225" t="str">
        <x:v>Une promesse hôtelière factuelle peut soutenir la tranche 85–400 EUR</x:v>
      </x:c>
      <x:c r="Z12" s="225" t="str">
        <x:v>/Users/Hakim/Documents/Boutiques drop/boutique-pipeline/codex-chasse-clusters/reports/validation-multimarche-brandsearch-20260720-200609-a1.md</x:v>
      </x:c>
    </x:row>
    <x:row r="13" ht="54" customHeight="1">
      <x:c r="A13" s="225" t="n">
        <x:v>8</x:v>
      </x:c>
      <x:c r="B13" s="225" t="str">
        <x:v>VALIDÉ</x:v>
      </x:c>
      <x:c r="C13" s="225" t="n">
        <x:v>2</x:v>
      </x:c>
      <x:c r="D13" s="225" t="str">
        <x:v>Meuble-cage pour chien / double niche intérieure</x:v>
      </x:c>
      <x:c r="E13" s="225" t="str">
        <x:v>UK</x:v>
      </x:c>
      <x:c r="F13" s="226" t="n">
        <x:v>13280</x:v>
      </x:c>
      <x:c r="G13" s="226" t="str">
        <x:v>FR</x:v>
      </x:c>
      <x:c r="H13" s="226" t="n">
        <x:v>2060</x:v>
      </x:c>
      <x:c r="I13" s="225" t="str">
        <x:v>www.lordsandlabradors.co.uk</x:v>
      </x:c>
      <x:c r="J13" s="226" t="n">
        <x:v>79059</x:v>
      </x:c>
      <x:c r="K13" s="226" t="n">
        <x:v>40</x:v>
      </x:c>
      <x:c r="L13" s="226" t="n">
        <x:v>0</x:v>
      </x:c>
      <x:c r="M13" s="227" t="n">
        <x:v>263.97</x:v>
      </x:c>
      <x:c r="N13" s="227" t="n">
        <x:f>M13/'Méthode'!$B$5</x:f>
        <x:v>230.84390030607787</x:v>
      </x:c>
      <x:c r="O13" s="228" t="n">
        <x:v>0.182</x:v>
      </x:c>
      <x:c r="P13" s="225" t="str">
        <x:v>Aosom UK : double meuble-cage 234,99 GBP</x:v>
      </x:c>
      <x:c r="Q13" s="225" t="str">
        <x:v>RETENU_MARCHE_A_SOURCER — UK</x:v>
      </x:c>
      <x:c r="R13" s="225" t="str">
        <x:v>Dimensions, barreaux, ventilation, stabilité, morsure et colis</x:v>
      </x:c>
      <x:c r="S13" s="225" t="str">
        <x:v>wood dog crate furniture large double door removable tray EU warehouse UK</x:v>
      </x:c>
      <x:c r="T13" s="225" t="str"/>
      <x:c r="U13" s="225" t="str">
        <x:v>https://app.brandsearch.co/brand-analysis/lordsandlabradors.co.uk</x:v>
      </x:c>
      <x:c r="V13" s="225" t="str">
        <x:v>https://www.aosom.co.uk/dog-pet-supplies/dog-cages-c730.html</x:v>
      </x:c>
      <x:c r="W13" s="225" t="str">
        <x:v>UK 13 280/mois ; Trends +18,2 % ; témoin à 79 059 visites</x:v>
      </x:c>
      <x:c r="X13" s="225" t="str">
        <x:v>Fournisseur, sécurité animale, charge et coût retour</x:v>
      </x:c>
      <x:c r="Y13" s="225" t="str">
        <x:v>Le marché pilote est le Royaume-Uni ; la France reste sous le seuil</x:v>
      </x:c>
      <x:c r="Z13" s="225" t="str">
        <x:v>/Users/Hakim/Documents/Boutiques drop/boutique-pipeline/codex-chasse-clusters/reports/validation-multimarche-brandsearch-20260720-200609-a1.md</x:v>
      </x:c>
    </x:row>
    <x:row r="14" ht="54" customHeight="1">
      <x:c r="A14" s="225" t="n">
        <x:v>9</x:v>
      </x:c>
      <x:c r="B14" s="225" t="str">
        <x:v>À CREUSER</x:v>
      </x:c>
      <x:c r="C14" s="225" t="n">
        <x:v>3</x:v>
      </x:c>
      <x:c r="D14" s="225" t="str">
        <x:v>Panneau mural décoratif de douche</x:v>
      </x:c>
      <x:c r="E14" s="225" t="str">
        <x:v>DE</x:v>
      </x:c>
      <x:c r="F14" s="226" t="n">
        <x:v>46220</x:v>
      </x:c>
      <x:c r="G14" s="226" t="str">
        <x:v>FR</x:v>
      </x:c>
      <x:c r="H14" s="226" t="n">
        <x:v>13510</x:v>
      </x:c>
      <x:c r="I14" s="225" t="str">
        <x:v>xn--duschrckwand-platten-uec.de</x:v>
      </x:c>
      <x:c r="J14" s="226" t="n">
        <x:v>18006</x:v>
      </x:c>
      <x:c r="K14" s="226" t="n">
        <x:v>40</x:v>
      </x:c>
      <x:c r="L14" s="226" t="n">
        <x:v>0</x:v>
      </x:c>
      <x:c r="M14" s="227" t="n">
        <x:v>424.07</x:v>
      </x:c>
      <x:c r="N14" s="227" t="n">
        <x:f>M14/'Méthode'!$B$5</x:f>
        <x:v>370.8526453869698</x:v>
      </x:c>
      <x:c r="O14" s="228" t="n">
        <x:v>0.119</x:v>
      </x:c>
      <x:c r="P14" s="225" t="str">
        <x:v>Leroy Merlin : 1 639 résultats ; Castorama env. 112–500 EUR</x:v>
      </x:c>
      <x:c r="Q14" s="225" t="str">
        <x:v>Marché prouvé, concurrence/logistique à résoudre</x:v>
      </x:c>
      <x:c r="R14" s="225" t="str">
        <x:v>Format, découpe, adhésif, étanchéité et avarie transport</x:v>
      </x:c>
      <x:c r="S14" s="225" t="str">
        <x:v>shower wall panel aluminium composite 90x210 waterproof EU warehouse</x:v>
      </x:c>
      <x:c r="T14" s="225" t="str"/>
      <x:c r="U14" s="225" t="str">
        <x:v>https://app.brandsearch.co/brand-analysis/xn--duschrckwand-platten-uec.de</x:v>
      </x:c>
      <x:c r="V14" s="225" t="str">
        <x:v>https://www.leroymerlin.fr/produits/salle-de-bains/douche/panneau-mural-douche/</x:v>
      </x:c>
      <x:c r="W14" s="225" t="str">
        <x:v>DE et FR au-dessus de 10K ; Trends FR +11,9 %</x:v>
      </x:c>
      <x:c r="X14" s="225" t="str">
        <x:v>Fournisseur, structure du panneau et coût livré</x:v>
      </x:c>
      <x:c r="Y14" s="225" t="str">
        <x:v>Un décor exclusif ou une découpe simple doit compenser les grands catalogues</x:v>
      </x:c>
      <x:c r="Z14" s="225" t="str">
        <x:v>/Users/Hakim/Documents/Boutiques drop/boutique-pipeline/codex-chasse-clusters/reports/validation-multimarche-brandsearch-20260720-200609-a1.md</x:v>
      </x:c>
    </x:row>
    <x:row r="15" ht="54" customHeight="1">
      <x:c r="A15" s="225" t="n">
        <x:v>10</x:v>
      </x:c>
      <x:c r="B15" s="225" t="str">
        <x:v>À CREUSER</x:v>
      </x:c>
      <x:c r="C15" s="225" t="n">
        <x:v>3</x:v>
      </x:c>
      <x:c r="D15" s="225" t="str">
        <x:v>Vasque de salle de bain design à poser</x:v>
      </x:c>
      <x:c r="E15" s="225" t="str">
        <x:v>FR</x:v>
      </x:c>
      <x:c r="F15" s="226" t="n">
        <x:v>368610</x:v>
      </x:c>
      <x:c r="G15" s="226" t="str"/>
      <x:c r="H15" s="226"/>
      <x:c r="I15" s="225" t="str">
        <x:v>www.lemondedubain.com</x:v>
      </x:c>
      <x:c r="J15" s="226" t="n">
        <x:v>55560</x:v>
      </x:c>
      <x:c r="K15" s="226" t="n">
        <x:v>40</x:v>
      </x:c>
      <x:c r="L15" s="226" t="n">
        <x:v>0</x:v>
      </x:c>
      <x:c r="M15" s="227" t="n">
        <x:v>452.84</x:v>
      </x:c>
      <x:c r="N15" s="227" t="n">
        <x:f>M15/'Méthode'!$B$5</x:f>
        <x:v>396.0122431132488</x:v>
      </x:c>
      <x:c r="O15" s="228"/>
      <x:c r="P15" s="225" t="str">
        <x:v>Prix indicatif 50–500 EUR ; spécialistes et grandes enseignes</x:v>
      </x:c>
      <x:c r="Q15" s="225" t="str">
        <x:v>Demande forte, faisabilité fragile</x:v>
      </x:c>
      <x:c r="R15" s="225" t="str">
        <x:v>Céramique, éclats, dimensions, bonde, trop-plein et casse</x:v>
      </x:c>
      <x:c r="S15" s="225" t="str">
        <x:v>ceramic countertop bathroom basin design EU warehouse</x:v>
      </x:c>
      <x:c r="T15" s="225" t="str"/>
      <x:c r="U15" s="225" t="str">
        <x:v>https://app.brandsearch.co/brand-analysis/lemondedubain.com</x:v>
      </x:c>
      <x:c r="V15" s="225" t="str">
        <x:v>https://www.castorama.fr/idees-et-conseils/choisir-une-vasque-ou-un-lavabo/CF_CC_npcart_100479.art</x:v>
      </x:c>
      <x:c r="W15" s="225" t="str">
        <x:v>FR 368 610/mois ; témoin à 55 560 visites</x:v>
      </x:c>
      <x:c r="X15" s="225" t="str">
        <x:v>Fournisseur, emballage, taux casse et coût retour</x:v>
      </x:c>
      <x:c r="Y15" s="225" t="str">
        <x:v>Un matériau moins cassant ou un emballage documenté peut rouvrir la piste</x:v>
      </x:c>
      <x:c r="Z15" s="225" t="str">
        <x:v>/Users/Hakim/Documents/Boutiques drop/boutique-pipeline/codex-chasse-clusters/reports/validation-multimarche-brandsearch-20260720-200609-a1.md</x:v>
      </x:c>
    </x:row>
    <x:row r="16" ht="54" customHeight="1">
      <x:c r="A16" s="225" t="n">
        <x:v>11</x:v>
      </x:c>
      <x:c r="B16" s="225" t="str">
        <x:v>À CREUSER</x:v>
      </x:c>
      <x:c r="C16" s="225" t="n">
        <x:v>3</x:v>
      </x:c>
      <x:c r="D16" s="225" t="str">
        <x:v>Salon de jardin en résine tressée</x:v>
      </x:c>
      <x:c r="E16" s="225" t="str">
        <x:v>UK</x:v>
      </x:c>
      <x:c r="F16" s="226" t="n">
        <x:v>122080</x:v>
      </x:c>
      <x:c r="G16" s="226" t="str">
        <x:v>FR</x:v>
      </x:c>
      <x:c r="H16" s="226" t="n">
        <x:v>15450</x:v>
      </x:c>
      <x:c r="I16" s="225" t="str">
        <x:v>www.rattantree.com</x:v>
      </x:c>
      <x:c r="J16" s="226" t="n">
        <x:v>101487</x:v>
      </x:c>
      <x:c r="K16" s="226" t="n">
        <x:v>40</x:v>
      </x:c>
      <x:c r="L16" s="226" t="n">
        <x:v>0</x:v>
      </x:c>
      <x:c r="M16" s="227" t="n">
        <x:v>172.4</x:v>
      </x:c>
      <x:c r="N16" s="227" t="n">
        <x:f>M16/'Méthode'!$B$5</x:f>
        <x:v>150.76519457804986</x:v>
      </x:c>
      <x:c r="O16" s="228" t="n">
        <x:v>-0.039</x:v>
      </x:c>
      <x:c r="P16" s="225" t="str">
        <x:v>Planchers 99–200 EUR ; premium &gt;500 EUR</x:v>
      </x:c>
      <x:c r="Q16" s="225" t="str">
        <x:v>Marché fort, économie non prouvée</x:v>
      </x:c>
      <x:c r="R16" s="225" t="str">
        <x:v>Volume colis, saisonnalité, acier/alu, coussins et retours</x:v>
      </x:c>
      <x:c r="S16" s="225" t="str">
        <x:v>rattan garden furniture set 4 seat aluminium frame EU warehouse UK</x:v>
      </x:c>
      <x:c r="T16" s="225" t="str"/>
      <x:c r="U16" s="225" t="str">
        <x:v>https://app.brandsearch.co/brand-analysis/rattantree.com</x:v>
      </x:c>
      <x:c r="V16" s="225" t="str">
        <x:v>https://www.therange.co.uk/outdoor-living/garden-furniture/rattan-garden-furniture/</x:v>
      </x:c>
      <x:c r="W16" s="225" t="str">
        <x:v>UK et FR au-dessus de 10K ; 101 487 visites témoin</x:v>
      </x:c>
      <x:c r="X16" s="225" t="str">
        <x:v>Coût livré, entrepôt local et qualité de structure</x:v>
      </x:c>
      <x:c r="Y16" s="225" t="str">
        <x:v>Un petit set aluminium compact pourrait survivre aux planchers bas</x:v>
      </x:c>
      <x:c r="Z16" s="225" t="str">
        <x:v>/Users/Hakim/Documents/Boutiques drop/boutique-pipeline/codex-chasse-clusters/reports/validation-multimarche-brandsearch-20260720-200609-a1.md</x:v>
      </x:c>
    </x:row>
    <x:row r="17" ht="54" customHeight="1">
      <x:c r="A17" s="225" t="n">
        <x:v>12</x:v>
      </x:c>
      <x:c r="B17" s="225" t="str">
        <x:v>À CREUSER</x:v>
      </x:c>
      <x:c r="C17" s="225" t="n">
        <x:v>3</x:v>
      </x:c>
      <x:c r="D17" s="225" t="str">
        <x:v>Coussin chauffant premium infrarouge / batterie</x:v>
      </x:c>
      <x:c r="E17" s="225" t="str">
        <x:v>FR</x:v>
      </x:c>
      <x:c r="F17" s="226" t="n">
        <x:v>47060</x:v>
      </x:c>
      <x:c r="G17" s="226" t="str">
        <x:v>BE</x:v>
      </x:c>
      <x:c r="H17" s="226" t="n">
        <x:v>12750</x:v>
      </x:c>
      <x:c r="I17" s="225" t="str">
        <x:v>opoggi.com</x:v>
      </x:c>
      <x:c r="J17" s="226" t="n">
        <x:v>38</x:v>
      </x:c>
      <x:c r="K17" s="226" t="n">
        <x:v>40</x:v>
      </x:c>
      <x:c r="L17" s="226" t="n">
        <x:v>0</x:v>
      </x:c>
      <x:c r="M17" s="227" t="n">
        <x:v>217.97</x:v>
      </x:c>
      <x:c r="N17" s="227" t="n">
        <x:f>M17/'Méthode'!$B$5</x:f>
        <x:v>190.6165282028859</x:v>
      </x:c>
      <x:c r="O17" s="228" t="n">
        <x:v>0.042</x:v>
      </x:c>
      <x:c r="P17" s="225" t="str">
        <x:v>Génériques dès 29,95 EUR ; témoin premium 217,97 USD moyen</x:v>
      </x:c>
      <x:c r="Q17" s="225" t="str">
        <x:v>Prix premium non démontré</x:v>
      </x:c>
      <x:c r="R17" s="225" t="str">
        <x:v>Sécurité électrique, surchauffe, batterie, textile et allégations</x:v>
      </x:c>
      <x:c r="S17" s="225" t="str">
        <x:v>premium infrared heated cushion rechargeable auto shutoff EU warehouse</x:v>
      </x:c>
      <x:c r="T17" s="225" t="str"/>
      <x:c r="U17" s="225" t="str">
        <x:v>https://app.brandsearch.co/brand-analysis/opoggi.com</x:v>
      </x:c>
      <x:c r="V17" s="225" t="str">
        <x:v>https://www.idealo.fr/cat/10952F850388/couvertures-coussins-chauffants-electriques.html</x:v>
      </x:c>
      <x:c r="W17" s="225" t="str">
        <x:v>FR, BE et NL passent 10K ; Trends FR +4,2 % mais très saisonnier</x:v>
      </x:c>
      <x:c r="X17" s="225" t="str">
        <x:v>Preuve produit premium, certificats, coût et fournisseur</x:v>
      </x:c>
      <x:c r="Y17" s="225" t="str">
        <x:v>La piste ne vit que si le produit est objectivement différent du générique à 30 EUR</x:v>
      </x:c>
      <x:c r="Z17" s="225" t="str">
        <x:v>/Users/Hakim/Documents/Boutiques drop/boutique-pipeline/codex-chasse-clusters/reports/validation-multimarche-brandsearch-20260720-200609-a1.md</x:v>
      </x:c>
    </x:row>
    <x:row r="18" ht="54" customHeight="1">
      <x:c r="A18" s="225" t="n">
        <x:v>13</x:v>
      </x:c>
      <x:c r="B18" s="225" t="str">
        <x:v>À CREUSER</x:v>
      </x:c>
      <x:c r="C18" s="225" t="n">
        <x:v>3</x:v>
      </x:c>
      <x:c r="D18" s="225" t="str">
        <x:v>Receveur de douche SMC effet pierre</x:v>
      </x:c>
      <x:c r="E18" s="225" t="str">
        <x:v>FR</x:v>
      </x:c>
      <x:c r="F18" s="226" t="n">
        <x:v>195140</x:v>
      </x:c>
      <x:c r="G18" s="226" t="str"/>
      <x:c r="H18" s="226"/>
      <x:c r="I18" s="225" t="str">
        <x:v>www.lemondedubain.com</x:v>
      </x:c>
      <x:c r="J18" s="226" t="n">
        <x:v>55560</x:v>
      </x:c>
      <x:c r="K18" s="226" t="n">
        <x:v>40</x:v>
      </x:c>
      <x:c r="L18" s="226" t="n">
        <x:v>0</x:v>
      </x:c>
      <x:c r="M18" s="227" t="n">
        <x:v>452.84</x:v>
      </x:c>
      <x:c r="N18" s="227" t="n">
        <x:f>M18/'Méthode'!$B$5</x:f>
        <x:v>396.0122431132488</x:v>
      </x:c>
      <x:c r="O18" s="228"/>
      <x:c r="P18" s="225" t="str">
        <x:v>Médiane observée env. 146 EUR ; Aurlane très présent</x:v>
      </x:c>
      <x:c r="Q18" s="225" t="str">
        <x:v>Demande forte, concurrence et casse sévères</x:v>
      </x:c>
      <x:c r="R18" s="225" t="str">
        <x:v>Formats, bonde, planéité, flexion, emballage et retour</x:v>
      </x:c>
      <x:c r="S18" s="225" t="str">
        <x:v>SMC shower tray stone effect drain 90x120 EU warehouse</x:v>
      </x:c>
      <x:c r="T18" s="225" t="str"/>
      <x:c r="U18" s="225" t="str">
        <x:v>https://app.brandsearch.co/brand-analysis/lemondedubain.com</x:v>
      </x:c>
      <x:c r="V18" s="225" t="str">
        <x:v>https://magicprices.fr/liste-produit/receveurs-de-douche</x:v>
      </x:c>
      <x:c r="W18" s="225" t="str">
        <x:v>FR 195 140/mois ; tranche de prix compatible</x:v>
      </x:c>
      <x:c r="X18" s="225" t="str">
        <x:v>Fournisseur, coût rendu, casse et comparabilité</x:v>
      </x:c>
      <x:c r="Y18" s="225" t="str">
        <x:v>Un format recoupable ou une couleur rare peut créer une poche</x:v>
      </x:c>
      <x:c r="Z18" s="225" t="str">
        <x:v>/Users/Hakim/Documents/Boutiques drop/boutique-pipeline/codex-chasse-clusters/reports/validation-multimarche-brandsearch-20260720-200609-a1.md</x:v>
      </x:c>
    </x:row>
    <x:row r="19" ht="54" customHeight="1">
      <x:c r="A19" s="225" t="n">
        <x:v>14</x:v>
      </x:c>
      <x:c r="B19" s="225" t="str">
        <x:v>À CREUSER</x:v>
      </x:c>
      <x:c r="C19" s="225" t="n">
        <x:v>3</x:v>
      </x:c>
      <x:c r="D19" s="225" t="str">
        <x:v>Radiateur de salle de bain / sèche-serviettes design</x:v>
      </x:c>
      <x:c r="E19" s="225" t="str">
        <x:v>DE</x:v>
      </x:c>
      <x:c r="F19" s="226" t="n">
        <x:v>102650</x:v>
      </x:c>
      <x:c r="G19" s="226" t="str">
        <x:v>FR</x:v>
      </x:c>
      <x:c r="H19" s="226" t="n">
        <x:v>6290</x:v>
      </x:c>
      <x:c r="I19" s="225" t="str">
        <x:v>heizkoerper.shop</x:v>
      </x:c>
      <x:c r="J19" s="226" t="n">
        <x:v>7986</x:v>
      </x:c>
      <x:c r="K19" s="226" t="n">
        <x:v>40</x:v>
      </x:c>
      <x:c r="L19" s="226" t="n">
        <x:v>0</x:v>
      </x:c>
      <x:c r="M19" s="227" t="n">
        <x:v>354.07</x:v>
      </x:c>
      <x:c r="N19" s="227" t="n">
        <x:f>M19/'Méthode'!$B$5</x:f>
        <x:v>309.6370791429821</x:v>
      </x:c>
      <x:c r="O19" s="228"/>
      <x:c r="P19" s="225" t="str">
        <x:v>Prix moyen boutique 354,07 USD ; 46 produits</x:v>
      </x:c>
      <x:c r="Q19" s="225" t="str">
        <x:v>Marché DE prouvé, risque technique</x:v>
      </x:c>
      <x:c r="R19" s="225" t="str">
        <x:v>Puissance, hydraulique/électrique, raccords, normes et installation</x:v>
      </x:c>
      <x:c r="S19" s="225" t="str">
        <x:v>bathroom radiator towel warmer 1200x500 connection set EU warehouse Germany</x:v>
      </x:c>
      <x:c r="T19" s="225" t="str"/>
      <x:c r="U19" s="225" t="str">
        <x:v>https://app.brandsearch.co/brand-analysis/heizkoerper.shop</x:v>
      </x:c>
      <x:c r="V19" s="225" t="str">
        <x:v>https://heizkoerper.shop/</x:v>
      </x:c>
      <x:c r="W19" s="225" t="str">
        <x:v>DE 102 650/mois ; témoin Search-only</x:v>
      </x:c>
      <x:c r="X19" s="225" t="str">
        <x:v>Trends DE, fournisseur, conformité et SAV</x:v>
      </x:c>
      <x:c r="Y19" s="225" t="str">
        <x:v>Un kit raccords documenté peut réduire les erreurs d'installation</x:v>
      </x:c>
      <x:c r="Z19" s="225" t="str">
        <x:v>/Users/Hakim/Documents/Boutiques drop/boutique-pipeline/codex-chasse-clusters/reports/validation-multimarche-brandsearch-20260720-200609-a1.md</x:v>
      </x:c>
    </x:row>
    <x:row r="20" ht="54" customHeight="1">
      <x:c r="A20" s="225" t="n">
        <x:v>15</x:v>
      </x:c>
      <x:c r="B20" s="225" t="str">
        <x:v>À CREUSER</x:v>
      </x:c>
      <x:c r="C20" s="225" t="n">
        <x:v>3</x:v>
      </x:c>
      <x:c r="D20" s="225" t="str">
        <x:v>Brasero / foyer de jardin premium</x:v>
      </x:c>
      <x:c r="E20" s="225" t="str">
        <x:v>DE</x:v>
      </x:c>
      <x:c r="F20" s="226" t="n">
        <x:v>42320</x:v>
      </x:c>
      <x:c r="G20" s="226" t="str">
        <x:v>FR</x:v>
      </x:c>
      <x:c r="H20" s="226" t="n">
        <x:v>8180</x:v>
      </x:c>
      <x:c r="I20" s="225" t="str">
        <x:v>gardenflare.com</x:v>
      </x:c>
      <x:c r="J20" s="226" t="n">
        <x:v>2268</x:v>
      </x:c>
      <x:c r="K20" s="226" t="n">
        <x:v>40</x:v>
      </x:c>
      <x:c r="L20" s="226" t="n">
        <x:v>0</x:v>
      </x:c>
      <x:c r="M20" s="227" t="n">
        <x:v>188.26</x:v>
      </x:c>
      <x:c r="N20" s="227" t="n">
        <x:f>M20/'Méthode'!$B$5</x:f>
        <x:v>164.63489287275908</x:v>
      </x:c>
      <x:c r="O20" s="228"/>
      <x:c r="P20" s="225" t="str">
        <x:v>Prix moyen boutique 188,26 USD ; 24 produits</x:v>
      </x:c>
      <x:c r="Q20" s="225" t="str">
        <x:v>Marché DE prouvé, saison/sécurité à résoudre</x:v>
      </x:c>
      <x:c r="R20" s="225" t="str">
        <x:v>Feu, stabilité, corrosion, fumées, poids et règles locales</x:v>
      </x:c>
      <x:c r="S20" s="225" t="str">
        <x:v>outdoor fire pit corten steel spark guard EU warehouse Germany</x:v>
      </x:c>
      <x:c r="T20" s="225" t="str"/>
      <x:c r="U20" s="225" t="str">
        <x:v>https://app.brandsearch.co/brand-analysis/gardenflare.com</x:v>
      </x:c>
      <x:c r="V20" s="225" t="str">
        <x:v>https://gardenflare.com/</x:v>
      </x:c>
      <x:c r="W20" s="225" t="str">
        <x:v>DE 42 320/mois ; acteur Search-only</x:v>
      </x:c>
      <x:c r="X20" s="225" t="str">
        <x:v>Trends DE, fournisseur, matériaux et coût rendu</x:v>
      </x:c>
      <x:c r="Y20" s="225" t="str">
        <x:v>Un foyer compact avec pare-étincelles et housse peut être testable</x:v>
      </x:c>
      <x:c r="Z20" s="225" t="str">
        <x:v>/Users/Hakim/Documents/Boutiques drop/boutique-pipeline/codex-chasse-clusters/reports/validation-multimarche-brandsearch-20260720-200609-a1.md</x:v>
      </x:c>
    </x:row>
    <x:row r="21" ht="54" customHeight="1">
      <x:c r="A21" s="225" t="n">
        <x:v>16</x:v>
      </x:c>
      <x:c r="B21" s="225" t="str">
        <x:v>À CREUSER</x:v>
      </x:c>
      <x:c r="C21" s="225" t="n">
        <x:v>3</x:v>
      </x:c>
      <x:c r="D21" s="225" t="str">
        <x:v>Kit grillage de volière / enclos animal</x:v>
      </x:c>
      <x:c r="E21" s="225" t="str">
        <x:v>DE</x:v>
      </x:c>
      <x:c r="F21" s="226" t="n">
        <x:v>13300</x:v>
      </x:c>
      <x:c r="G21" s="226" t="str"/>
      <x:c r="H21" s="226"/>
      <x:c r="I21" s="225" t="str">
        <x:v>drahtexpress.de</x:v>
      </x:c>
      <x:c r="J21" s="226" t="n">
        <x:v>15544</x:v>
      </x:c>
      <x:c r="K21" s="226" t="n">
        <x:v>40</x:v>
      </x:c>
      <x:c r="L21" s="226" t="n">
        <x:v>0</x:v>
      </x:c>
      <x:c r="M21" s="227" t="n">
        <x:v>115.98</x:v>
      </x:c>
      <x:c r="N21" s="227" t="n">
        <x:f>M21/'Méthode'!$B$5</x:f>
        <x:v>101.42544818539572</x:v>
      </x:c>
      <x:c r="O21" s="228"/>
      <x:c r="P21" s="225" t="str">
        <x:v>Prix moyen boutique 115,98 USD ; 47 produits</x:v>
      </x:c>
      <x:c r="Q21" s="225" t="str">
        <x:v>Volume juste ; commodité et poids</x:v>
      </x:c>
      <x:c r="R21" s="225" t="str">
        <x:v>Maille, diamètre, galvanisation, bords coupants, rouleau lourd</x:v>
      </x:c>
      <x:c r="S21" s="225" t="str">
        <x:v>aviary wire mesh galvanized roll fixing kit EU warehouse Germany</x:v>
      </x:c>
      <x:c r="T21" s="225" t="str"/>
      <x:c r="U21" s="225" t="str">
        <x:v>https://app.brandsearch.co/brand-analysis/drahtexpress.de</x:v>
      </x:c>
      <x:c r="V21" s="225" t="str">
        <x:v>https://drahtexpress.de/</x:v>
      </x:c>
      <x:c r="W21" s="225" t="str">
        <x:v>DE 13 300/mois ; témoin à 15 544 visites</x:v>
      </x:c>
      <x:c r="X21" s="225" t="str">
        <x:v>Trends DE, fournisseur et coût transport</x:v>
      </x:c>
      <x:c r="Y21" s="225" t="str">
        <x:v>Un bundle complet mesuré par surface doit justifier le panier</x:v>
      </x:c>
      <x:c r="Z21" s="225" t="str">
        <x:v>/Users/Hakim/Documents/Boutiques drop/boutique-pipeline/codex-chasse-clusters/reports/validation-multimarche-brandsearch-20260720-200609-a1.md</x:v>
      </x:c>
    </x:row>
    <x:row r="22" ht="54" customHeight="1">
      <x:c r="A22" s="225" t="n">
        <x:v>17</x:v>
      </x:c>
      <x:c r="B22" s="225" t="str">
        <x:v>À CREUSER</x:v>
      </x:c>
      <x:c r="C22" s="225" t="n">
        <x:v>3</x:v>
      </x:c>
      <x:c r="D22" s="225" t="str">
        <x:v>Paroi / cabine de douche</x:v>
      </x:c>
      <x:c r="E22" s="225" t="str">
        <x:v>ES</x:v>
      </x:c>
      <x:c r="F22" s="226" t="n">
        <x:v>40610</x:v>
      </x:c>
      <x:c r="G22" s="226" t="str"/>
      <x:c r="H22" s="226"/>
      <x:c r="I22" s="225" t="str">
        <x:v>www.entornobano.com</x:v>
      </x:c>
      <x:c r="J22" s="226" t="n">
        <x:v>13186</x:v>
      </x:c>
      <x:c r="K22" s="226" t="n">
        <x:v>40</x:v>
      </x:c>
      <x:c r="L22" s="226" t="n">
        <x:v>0</x:v>
      </x:c>
      <x:c r="M22" s="227" t="n">
        <x:v>412.05</x:v>
      </x:c>
      <x:c r="N22" s="227" t="n">
        <x:f>M22/'Méthode'!$B$5</x:f>
        <x:v>360.34105815478796</x:v>
      </x:c>
      <x:c r="O22" s="228"/>
      <x:c r="P22" s="225" t="str">
        <x:v>Prix moyen boutique 412,05 USD ; 1 404 produits</x:v>
      </x:c>
      <x:c r="Q22" s="225" t="str">
        <x:v>Marché ES prouvé, casse/installation sévères</x:v>
      </x:c>
      <x:c r="R22" s="225" t="str">
        <x:v>Verre, dimensions, réversibilité, perçage, montage et casse</x:v>
      </x:c>
      <x:c r="S22" s="225" t="str">
        <x:v>shower enclosure 8mm tempered glass reversible EU warehouse Spain</x:v>
      </x:c>
      <x:c r="T22" s="225" t="str"/>
      <x:c r="U22" s="225" t="str">
        <x:v>https://app.brandsearch.co/brand-analysis/entornobano.com</x:v>
      </x:c>
      <x:c r="V22" s="225" t="str">
        <x:v>https://www.entornobano.com/</x:v>
      </x:c>
      <x:c r="W22" s="225" t="str">
        <x:v>ES 40 610/mois ; témoin à 13 186 visites</x:v>
      </x:c>
      <x:c r="X22" s="225" t="str">
        <x:v>Fournisseur, certification verre et taux casse</x:v>
      </x:c>
      <x:c r="Y22" s="225" t="str">
        <x:v>Une paroi simple plutôt qu'une cabine complète peut réduire le risque</x:v>
      </x:c>
      <x:c r="Z22" s="225" t="str">
        <x:v>/Users/Hakim/Documents/Boutiques drop/boutique-pipeline/codex-chasse-clusters/reports/validation-multimarche-brandsearch-20260720-200609-a1.md</x:v>
      </x:c>
    </x:row>
    <x:row r="23" ht="54" customHeight="1">
      <x:c r="A23" s="225" t="n">
        <x:v>18</x:v>
      </x:c>
      <x:c r="B23" s="225" t="str">
        <x:v>À CREUSER</x:v>
      </x:c>
      <x:c r="C23" s="225" t="n">
        <x:v>4</x:v>
      </x:c>
      <x:c r="D23" s="225" t="str">
        <x:v>Barres de toit / galerie spécifique véhicule</x:v>
      </x:c>
      <x:c r="E23" s="225" t="str">
        <x:v>UK</x:v>
      </x:c>
      <x:c r="F23" s="226" t="n">
        <x:v>189650</x:v>
      </x:c>
      <x:c r="G23" s="226" t="str"/>
      <x:c r="H23" s="226"/>
      <x:c r="I23" s="225" t="str">
        <x:v>roofrack.co.uk</x:v>
      </x:c>
      <x:c r="J23" s="226" t="n">
        <x:v>4988</x:v>
      </x:c>
      <x:c r="K23" s="226" t="n">
        <x:v>40</x:v>
      </x:c>
      <x:c r="L23" s="226" t="n">
        <x:v>0</x:v>
      </x:c>
      <x:c r="M23" s="227" t="n">
        <x:v>440.2</x:v>
      </x:c>
      <x:c r="N23" s="227" t="n">
        <x:f>M23/'Méthode'!$B$5</x:f>
        <x:v>384.958460865763</x:v>
      </x:c>
      <x:c r="O23" s="228"/>
      <x:c r="P23" s="225" t="str">
        <x:v>Prix moyen boutique 440,20 USD</x:v>
      </x:c>
      <x:c r="Q23" s="225" t="str">
        <x:v>Marché massif, responsabilité produit élevée</x:v>
      </x:c>
      <x:c r="R23" s="225" t="str">
        <x:v>Compatibilité, charge, fixation, bruit, sécurité routière</x:v>
      </x:c>
      <x:c r="S23" s="225" t="str">
        <x:v>roof rack cross bars vehicle specific TUV EU warehouse UK</x:v>
      </x:c>
      <x:c r="T23" s="225" t="str"/>
      <x:c r="U23" s="225" t="str">
        <x:v>https://app.brandsearch.co/brand-analysis/roofrack.co.uk</x:v>
      </x:c>
      <x:c r="V23" s="225" t="str">
        <x:v>https://roofrack.co.uk/</x:v>
      </x:c>
      <x:c r="W23" s="225" t="str">
        <x:v>UK 189 650/mois ; catalogue de 746 produits</x:v>
      </x:c>
      <x:c r="X23" s="225" t="str">
        <x:v>Fournisseur, homologation, charge et assurance</x:v>
      </x:c>
      <x:c r="Y23" s="225" t="str">
        <x:v>Une sélection limitée de véhicules populaires serait nécessaire</x:v>
      </x:c>
      <x:c r="Z23" s="225" t="str">
        <x:v>/Users/Hakim/Documents/Boutiques drop/boutique-pipeline/codex-chasse-clusters/reports/validation-multimarche-brandsearch-20260720-200609-a1.md</x:v>
      </x:c>
    </x:row>
    <x:row r="24" ht="54" customHeight="1">
      <x:c r="A24" s="225" t="n">
        <x:v>19</x:v>
      </x:c>
      <x:c r="B24" s="225" t="str">
        <x:v>À CREUSER</x:v>
      </x:c>
      <x:c r="C24" s="225" t="n">
        <x:v>4</x:v>
      </x:c>
      <x:c r="D24" s="225" t="str">
        <x:v>Dashcam 2/3 canaux avec kit câblage</x:v>
      </x:c>
      <x:c r="E24" s="225" t="str">
        <x:v>UK</x:v>
      </x:c>
      <x:c r="F24" s="226" t="n">
        <x:v>378800</x:v>
      </x:c>
      <x:c r="G24" s="226" t="str"/>
      <x:c r="H24" s="226"/>
      <x:c r="I24" s="225" t="str">
        <x:v>www.dashvision.co.uk</x:v>
      </x:c>
      <x:c r="J24" s="226" t="n">
        <x:v>10486</x:v>
      </x:c>
      <x:c r="K24" s="226" t="n">
        <x:v>40</x:v>
      </x:c>
      <x:c r="L24" s="226" t="n">
        <x:v>0</x:v>
      </x:c>
      <x:c r="M24" s="227" t="n">
        <x:v>97.46</x:v>
      </x:c>
      <x:c r="N24" s="227" t="n">
        <x:f>M24/'Méthode'!$B$5</x:f>
        <x:v>85.22955837341495</x:v>
      </x:c>
      <x:c r="O24" s="228"/>
      <x:c r="P24" s="225" t="str">
        <x:v>Prix moyen boutique à la borne basse 97,46 USD</x:v>
      </x:c>
      <x:c r="Q24" s="225" t="str">
        <x:v>Marché massif, concurrence et SAV élevés</x:v>
      </x:c>
      <x:c r="R24" s="225" t="str">
        <x:v>Capteur, plaques lisibles, app, firmware, stationnement, chaleur</x:v>
      </x:c>
      <x:c r="S24" s="225" t="str">
        <x:v>3 channel dash cam parking mode hardwire kit EU warehouse UK</x:v>
      </x:c>
      <x:c r="T24" s="225" t="str"/>
      <x:c r="U24" s="225" t="str">
        <x:v>https://app.brandsearch.co/brand-analysis/dashvision.co.uk</x:v>
      </x:c>
      <x:c r="V24" s="225" t="str">
        <x:v>https://www.dashvision.co.uk/</x:v>
      </x:c>
      <x:c r="W24" s="225" t="str">
        <x:v>UK 378 800/mois ; témoin à 10 486 visites</x:v>
      </x:c>
      <x:c r="X24" s="225" t="str">
        <x:v>Fournisseur, qualité vidéo réelle, app et SAV</x:v>
      </x:c>
      <x:c r="Y24" s="225" t="str">
        <x:v>Un bundle complet peut être pertinent seulement avec preuve vidéo indépendante</x:v>
      </x:c>
      <x:c r="Z24" s="225" t="str">
        <x:v>/Users/Hakim/Documents/Boutiques drop/boutique-pipeline/codex-chasse-clusters/reports/validation-multimarche-brandsearch-20260720-200609-a1.md</x:v>
      </x:c>
    </x:row>
    <x:row r="25" ht="54" customHeight="1">
      <x:c r="A25" s="225" t="n">
        <x:v>20</x:v>
      </x:c>
      <x:c r="B25" s="225" t="str">
        <x:v>À CREUSER</x:v>
      </x:c>
      <x:c r="C25" s="225" t="n">
        <x:v>4</x:v>
      </x:c>
      <x:c r="D25" s="225" t="str">
        <x:v>Kit de suivi de consommation électrique</x:v>
      </x:c>
      <x:c r="E25" s="225" t="str">
        <x:v>NL</x:v>
      </x:c>
      <x:c r="F25" s="226" t="n">
        <x:v>11290</x:v>
      </x:c>
      <x:c r="G25" s="226" t="str">
        <x:v>BE</x:v>
      </x:c>
      <x:c r="H25" s="226" t="n">
        <x:v>5660</x:v>
      </x:c>
      <x:c r="I25" s="225" t="str">
        <x:v>easynrj.com</x:v>
      </x:c>
      <x:c r="J25" s="226" t="n">
        <x:v>657</x:v>
      </x:c>
      <x:c r="K25" s="226" t="n">
        <x:v>40</x:v>
      </x:c>
      <x:c r="L25" s="226" t="n">
        <x:v>0</x:v>
      </x:c>
      <x:c r="M25" s="227" t="n">
        <x:v>231.68</x:v>
      </x:c>
      <x:c r="N25" s="227" t="n">
        <x:f>M25/'Méthode'!$B$5</x:f>
        <x:v>202.6060341058155</x:v>
      </x:c>
      <x:c r="O25" s="228"/>
      <x:c r="P25" s="225" t="str">
        <x:v>Prix moyen boutique 231,68 USD ; 9 produits</x:v>
      </x:c>
      <x:c r="Q25" s="225" t="str">
        <x:v>Signal NL juste, acteur encore petit</x:v>
      </x:c>
      <x:c r="R25" s="225" t="str">
        <x:v>Précision, tension, pose, app/cloud, RED/EMC et sécurité</x:v>
      </x:c>
      <x:c r="S25" s="225" t="str">
        <x:v>home energy monitor smart meter DIN app EU warehouse Netherlands</x:v>
      </x:c>
      <x:c r="T25" s="225" t="str"/>
      <x:c r="U25" s="225" t="str">
        <x:v>https://app.brandsearch.co/brand-analysis/easynrj.com</x:v>
      </x:c>
      <x:c r="V25" s="225" t="str">
        <x:v>https://easynrj.com/</x:v>
      </x:c>
      <x:c r="W25" s="225" t="str">
        <x:v>NL 11 290/mois ; BE sous le seuil</x:v>
      </x:c>
      <x:c r="X25" s="225" t="str">
        <x:v>Fournisseur, conformité et preuve de précision</x:v>
      </x:c>
      <x:c r="Y25" s="225" t="str">
        <x:v>Une installation non invasive pourrait réduire le frein technique</x:v>
      </x:c>
      <x:c r="Z25" s="225" t="str">
        <x:v>/Users/Hakim/Documents/Boutiques drop/boutique-pipeline/codex-chasse-clusters/reports/validation-multimarche-brandsearch-20260720-200609-a1.md</x:v>
      </x:c>
    </x:row>
    <x:row r="26" ht="54" customHeight="1">
      <x:c r="A26" s="225" t="n">
        <x:v>21</x:v>
      </x:c>
      <x:c r="B26" s="225" t="str">
        <x:v>À CREUSER</x:v>
      </x:c>
      <x:c r="C26" s="225" t="n">
        <x:v>4</x:v>
      </x:c>
      <x:c r="D26" s="225" t="str">
        <x:v>Ferme-porte hydraulique premium</x:v>
      </x:c>
      <x:c r="E26" s="225" t="str">
        <x:v>FR</x:v>
      </x:c>
      <x:c r="F26" s="226" t="n">
        <x:v>51400</x:v>
      </x:c>
      <x:c r="G26" s="226" t="str">
        <x:v>NL</x:v>
      </x:c>
      <x:c r="H26" s="226" t="n">
        <x:v>28650</x:v>
      </x:c>
      <x:c r="I26" s="225" t="str">
        <x:v>www.jadesafety.com</x:v>
      </x:c>
      <x:c r="J26" s="226" t="n">
        <x:v>3477</x:v>
      </x:c>
      <x:c r="K26" s="226" t="n">
        <x:v>40</x:v>
      </x:c>
      <x:c r="L26" s="226" t="n">
        <x:v>0</x:v>
      </x:c>
      <x:c r="M26" s="227" t="n">
        <x:v>121.14</x:v>
      </x:c>
      <x:c r="N26" s="227" t="n">
        <x:f>M26/'Méthode'!$B$5</x:f>
        <x:v>105.93790992566682</x:v>
      </x:c>
      <x:c r="O26" s="228"/>
      <x:c r="P26" s="225" t="str">
        <x:v>Prix moyen boutique 121,14 USD ; part de marché pro</x:v>
      </x:c>
      <x:c r="Q26" s="225" t="str">
        <x:v>Demande forte, panier moyen à prouver</x:v>
      </x:c>
      <x:c r="R26" s="225" t="str">
        <x:v>Force, poids porte, gabarit, pose, certification et retours</x:v>
      </x:c>
      <x:c r="S26" s="225" t="str">
        <x:v>hydraulic door closer adjustable EN1154 full installation kit EU warehouse</x:v>
      </x:c>
      <x:c r="T26" s="225" t="str"/>
      <x:c r="U26" s="225" t="str">
        <x:v>https://app.brandsearch.co/brand-analysis/jadesafety.com</x:v>
      </x:c>
      <x:c r="V26" s="225" t="str">
        <x:v>https://www.jadesafety.com/</x:v>
      </x:c>
      <x:c r="W26" s="225" t="str">
        <x:v>FR et NL au-dessus de 10K</x:v>
      </x:c>
      <x:c r="X26" s="225" t="str">
        <x:v>Fournisseur, prix du produit phare et conformité</x:v>
      </x:c>
      <x:c r="Y26" s="225" t="str">
        <x:v>Un kit complet avec gabarit et vidéo peut soutenir &gt;85 EUR</x:v>
      </x:c>
      <x:c r="Z26" s="225" t="str">
        <x:v>/Users/Hakim/Documents/Boutiques drop/boutique-pipeline/codex-chasse-clusters/reports/validation-multimarche-brandsearch-20260720-200609-a1.md</x:v>
      </x:c>
    </x:row>
    <x:row r="27" ht="54" customHeight="1">
      <x:c r="A27" s="225" t="n">
        <x:v>22</x:v>
      </x:c>
      <x:c r="B27" s="225" t="str">
        <x:v>À CREUSER</x:v>
      </x:c>
      <x:c r="C27" s="225" t="n">
        <x:v>4</x:v>
      </x:c>
      <x:c r="D27" s="225" t="str">
        <x:v>Draisienne premium bois/métal</x:v>
      </x:c>
      <x:c r="E27" s="225" t="str">
        <x:v>UK</x:v>
      </x:c>
      <x:c r="F27" s="226" t="n">
        <x:v>105340</x:v>
      </x:c>
      <x:c r="G27" s="226" t="str">
        <x:v>FR</x:v>
      </x:c>
      <x:c r="H27" s="226" t="n">
        <x:v>14910</x:v>
      </x:c>
      <x:c r="I27" s="225" t="str">
        <x:v>bobbinbikes.com</x:v>
      </x:c>
      <x:c r="J27" s="226" t="n">
        <x:v>67937</x:v>
      </x:c>
      <x:c r="K27" s="226" t="n">
        <x:v>40</x:v>
      </x:c>
      <x:c r="L27" s="226" t="n">
        <x:v>0</x:v>
      </x:c>
      <x:c r="M27" s="227" t="n">
        <x:v>130.19</x:v>
      </x:c>
      <x:c r="N27" s="227" t="n">
        <x:f>M27/'Méthode'!$B$5</x:f>
        <x:v>113.85220813292523</x:v>
      </x:c>
      <x:c r="O27" s="228"/>
      <x:c r="P27" s="225" t="str">
        <x:v>Prix moyen boutique 130,19 USD ; marque loisir établie</x:v>
      </x:c>
      <x:c r="Q27" s="225" t="str">
        <x:v>Marché prouvé, sécurité enfant</x:v>
      </x:c>
      <x:c r="R27" s="225" t="str">
        <x:v>Hauteur, pneus, stabilité, substances, marquage et responsabilité</x:v>
      </x:c>
      <x:c r="S27" s="225" t="str">
        <x:v>premium balance bike adjustable seat pneumatic tires EU warehouse</x:v>
      </x:c>
      <x:c r="T27" s="225" t="str"/>
      <x:c r="U27" s="225" t="str">
        <x:v>https://app.brandsearch.co/brand-analysis/bobbinbikes.com</x:v>
      </x:c>
      <x:c r="V27" s="225" t="str">
        <x:v>https://bobbinbikes.com/</x:v>
      </x:c>
      <x:c r="W27" s="225" t="str">
        <x:v>UK et FR au-dessus de 10K ; témoin à 67 937 visites</x:v>
      </x:c>
      <x:c r="X27" s="225" t="str">
        <x:v>Fournisseur, tests sécurité, conformité et coût</x:v>
      </x:c>
      <x:c r="Y27" s="225" t="str">
        <x:v>Un design premium ne suffit pas sans dossier de sécurité complet</x:v>
      </x:c>
      <x:c r="Z27" s="225" t="str">
        <x:v>/Users/Hakim/Documents/Boutiques drop/boutique-pipeline/codex-chasse-clusters/reports/validation-multimarche-brandsearch-20260720-200609-a1.md</x:v>
      </x:c>
    </x:row>
    <x:row r="28" ht="54" customHeight="1">
      <x:c r="A28" s="225" t="n">
        <x:v>23</x:v>
      </x:c>
      <x:c r="B28" s="225" t="str">
        <x:v>À CREUSER</x:v>
      </x:c>
      <x:c r="C28" s="225" t="n">
        <x:v>4</x:v>
      </x:c>
      <x:c r="D28" s="225" t="str">
        <x:v>Tapis de sol auto premium / sur mesure</x:v>
      </x:c>
      <x:c r="E28" s="225" t="str">
        <x:v>FR</x:v>
      </x:c>
      <x:c r="F28" s="226" t="n">
        <x:v>11350</x:v>
      </x:c>
      <x:c r="G28" s="226" t="str">
        <x:v>FR sur mesure</x:v>
      </x:c>
      <x:c r="H28" s="226" t="n">
        <x:v>6480</x:v>
      </x:c>
      <x:c r="I28" s="225" t="str">
        <x:v>omacshop.fr</x:v>
      </x:c>
      <x:c r="J28" s="226" t="n">
        <x:v>14080</x:v>
      </x:c>
      <x:c r="K28" s="226" t="n">
        <x:v>40</x:v>
      </x:c>
      <x:c r="L28" s="226" t="n">
        <x:v>0</x:v>
      </x:c>
      <x:c r="M28" s="227" t="n">
        <x:v>174.37</x:v>
      </x:c>
      <x:c r="N28" s="227" t="n">
        <x:f>M28/'Méthode'!$B$5</x:f>
        <x:v>152.4879755137735</x:v>
      </x:c>
      <x:c r="O28" s="228"/>
      <x:c r="P28" s="225" t="str">
        <x:v>Prix moyen boutique 174,37 USD, catalogue large</x:v>
      </x:c>
      <x:c r="Q28" s="225" t="str">
        <x:v>Famille passe ; sous-produit sur mesure sous 10K</x:v>
      </x:c>
      <x:c r="R28" s="225" t="str">
        <x:v>Gabarits, clips, odeur, matière et erreurs de modèle</x:v>
      </x:c>
      <x:c r="S28" s="225" t="str">
        <x:v>custom fit car floor mats make model year waterproof EU warehouse</x:v>
      </x:c>
      <x:c r="T28" s="225" t="str"/>
      <x:c r="U28" s="225" t="str">
        <x:v>https://app.brandsearch.co/brand-analysis/omacshop.fr</x:v>
      </x:c>
      <x:c r="V28" s="225" t="str">
        <x:v>https://omacshop.fr/</x:v>
      </x:c>
      <x:c r="W28" s="225" t="str">
        <x:v>Famille 11 350/mois ; témoin à 14 080 visites</x:v>
      </x:c>
      <x:c r="X28" s="225" t="str">
        <x:v>Fournisseur et demande du sous-produit exact</x:v>
      </x:c>
      <x:c r="Y28" s="225" t="str">
        <x:v>Un angle premium 3D/TPE doit être isolé de la famille générique</x:v>
      </x:c>
      <x:c r="Z28" s="225" t="str">
        <x:v>/Users/Hakim/Documents/Boutiques drop/boutique-pipeline/codex-chasse-clusters/reports/validation-multimarche-brandsearch-20260720-200609-a1.md</x:v>
      </x:c>
    </x:row>
    <x:row r="29" ht="54" customHeight="1">
      <x:c r="A29" s="225" t="n">
        <x:v>24</x:v>
      </x:c>
      <x:c r="B29" s="225" t="str">
        <x:v>À CREUSER</x:v>
      </x:c>
      <x:c r="C29" s="225" t="n">
        <x:v>4</x:v>
      </x:c>
      <x:c r="D29" s="225" t="str">
        <x:v>Plaque funéraire personnalisable</x:v>
      </x:c>
      <x:c r="E29" s="225" t="str">
        <x:v>FR</x:v>
      </x:c>
      <x:c r="F29" s="226" t="n">
        <x:v>69200</x:v>
      </x:c>
      <x:c r="G29" s="226" t="str">
        <x:v>FR personnalisée</x:v>
      </x:c>
      <x:c r="H29" s="226" t="n">
        <x:v>7860</x:v>
      </x:c>
      <x:c r="I29" s="225" t="str">
        <x:v>plaquedeces.fr</x:v>
      </x:c>
      <x:c r="J29" s="226" t="n">
        <x:v>24381</x:v>
      </x:c>
      <x:c r="K29" s="226" t="n">
        <x:v>40</x:v>
      </x:c>
      <x:c r="L29" s="226" t="n">
        <x:v>0</x:v>
      </x:c>
      <x:c r="M29" s="227" t="n">
        <x:v>100.71</x:v>
      </x:c>
      <x:c r="N29" s="227" t="n">
        <x:f>M29/'Méthode'!$B$5</x:f>
        <x:v>88.07170966331438</x:v>
      </x:c>
      <x:c r="O29" s="228" t="n">
        <x:v>0.056</x:v>
      </x:c>
      <x:c r="P29" s="225" t="str">
        <x:v>France Tombale : 56–120 EUR et plus</x:v>
      </x:c>
      <x:c r="Q29" s="225" t="str">
        <x:v>Famille forte ; modèle de production à clarifier</x:v>
      </x:c>
      <x:c r="R29" s="225" t="str">
        <x:v>Personnalisation, BAT, émotion client, fabrication et délai</x:v>
      </x:c>
      <x:c r="S29" s="225" t="str">
        <x:v>custom memorial plaque outdoor UV resistant personalized photo EU</x:v>
      </x:c>
      <x:c r="T29" s="225" t="str"/>
      <x:c r="U29" s="225" t="str">
        <x:v>https://app.brandsearch.co/brand-analysis/plaquedeces.fr</x:v>
      </x:c>
      <x:c r="V29" s="225" t="str">
        <x:v>https://www.france-tombale.fr/plaque-funeraire/plaque-funeraire-personnalisee.html</x:v>
      </x:c>
      <x:c r="W29" s="225" t="str">
        <x:v>Famille 69 200/mois ; Trends +5,6 % ; 24 381 visites témoin</x:v>
      </x:c>
      <x:c r="X29" s="225" t="str">
        <x:v>Fournisseur et adéquation au modèle AliExpress</x:v>
      </x:c>
      <x:c r="Y29" s="225" t="str">
        <x:v>La piste ressemble davantage à un atelier local qu'à un dropshipping standard</x:v>
      </x:c>
      <x:c r="Z29" s="225" t="str">
        <x:v>/Users/Hakim/Documents/Boutiques drop/boutique-pipeline/codex-chasse-clusters/reports/validation-multimarche-brandsearch-20260720-200609-a1.md</x:v>
      </x:c>
    </x:row>
    <x:row r="30" ht="54" customHeight="1">
      <x:c r="A30" s="225" t="n">
        <x:v>25</x:v>
      </x:c>
      <x:c r="B30" s="225" t="str">
        <x:v>EXCLU</x:v>
      </x:c>
      <x:c r="C30" s="225" t="n">
        <x:v>9</x:v>
      </x:c>
      <x:c r="D30" s="225" t="str">
        <x:v>Grille chien / séparation coffre spécifique véhicule</x:v>
      </x:c>
      <x:c r="E30" s="225" t="str">
        <x:v>UK</x:v>
      </x:c>
      <x:c r="F30" s="226" t="n">
        <x:v>5400</x:v>
      </x:c>
      <x:c r="G30" s="226" t="str"/>
      <x:c r="H30" s="226"/>
      <x:c r="I30" s="225" t="str">
        <x:v>travall.de</x:v>
      </x:c>
      <x:c r="J30" s="226" t="n">
        <x:v>9755</x:v>
      </x:c>
      <x:c r="K30" s="226" t="n">
        <x:v>40</x:v>
      </x:c>
      <x:c r="L30" s="226" t="n">
        <x:v>0</x:v>
      </x:c>
      <x:c r="M30" s="227" t="n">
        <x:v>139.58</x:v>
      </x:c>
      <x:c r="N30" s="227" t="n">
        <x:f>M30/'Méthode'!$B$5</x:f>
        <x:v>122.0638390905116</x:v>
      </x:c>
      <x:c r="O30" s="228"/>
      <x:c r="P30" s="225" t="str">
        <x:v>Prix moyen boutique 139,58 USD</x:v>
      </x:c>
      <x:c r="Q30" s="225" t="str">
        <x:v>STOP volume propre</x:v>
      </x:c>
      <x:c r="R30" s="225" t="str">
        <x:v>Compatibilité lourde et sous-segment sous 10K</x:v>
      </x:c>
      <x:c r="S30" s="225" t="str">
        <x:v>Ne pas sourcer</x:v>
      </x:c>
      <x:c r="T30" s="225" t="str"/>
      <x:c r="U30" s="225" t="str">
        <x:v>https://app.brandsearch.co/brand-analysis/travall.de</x:v>
      </x:c>
      <x:c r="V30" s="225" t="str">
        <x:v>https://travall.de/</x:v>
      </x:c>
      <x:c r="W30" s="225" t="str">
        <x:v>Entreprise réelle et Search-only</x:v>
      </x:c>
      <x:c r="X30" s="225" t="str">
        <x:v>Aucun fournisseur utile à chercher après STOP</x:v>
      </x:c>
      <x:c r="Y30" s="225" t="str">
        <x:v>Les requêtes modèle par modèle pourraient exister mais ne sont pas attribuables sans doublons</x:v>
      </x:c>
      <x:c r="Z30" s="225" t="str">
        <x:v>/Users/Hakim/Documents/Boutiques drop/boutique-pipeline/codex-chasse-clusters/reports/validation-multimarche-brandsearch-20260720-200609-a1.md</x:v>
      </x:c>
    </x:row>
    <x:row r="31" ht="54" customHeight="1">
      <x:c r="A31" s="225" t="n">
        <x:v>26</x:v>
      </x:c>
      <x:c r="B31" s="225" t="str">
        <x:v>EXCLU</x:v>
      </x:c>
      <x:c r="C31" s="225" t="n">
        <x:v>9</x:v>
      </x:c>
      <x:c r="D31" s="225" t="str">
        <x:v>Écran de projection motorisé</x:v>
      </x:c>
      <x:c r="E31" s="225" t="str">
        <x:v>DE</x:v>
      </x:c>
      <x:c r="F31" s="226" t="n">
        <x:v>2820</x:v>
      </x:c>
      <x:c r="G31" s="226" t="str">
        <x:v>FR</x:v>
      </x:c>
      <x:c r="H31" s="226" t="n">
        <x:v>1580</x:v>
      </x:c>
      <x:c r="I31" s="225" t="str">
        <x:v>esmart.de</x:v>
      </x:c>
      <x:c r="J31" s="226" t="n">
        <x:v>8925</x:v>
      </x:c>
      <x:c r="K31" s="226" t="n">
        <x:v>40</x:v>
      </x:c>
      <x:c r="L31" s="226" t="n">
        <x:v>0</x:v>
      </x:c>
      <x:c r="M31" s="227" t="n">
        <x:v>367.35</x:v>
      </x:c>
      <x:c r="N31" s="227" t="n">
        <x:f>M31/'Méthode'!$B$5</x:f>
        <x:v>321.2505465675558</x:v>
      </x:c>
      <x:c r="O31" s="228"/>
      <x:c r="P31" s="225" t="str">
        <x:v>Prix moyen boutique 367,35 USD</x:v>
      </x:c>
      <x:c r="Q31" s="225" t="str">
        <x:v>STOP volume</x:v>
      </x:c>
      <x:c r="R31" s="225" t="str">
        <x:v>Sous-segment trop étroit malgré le prix</x:v>
      </x:c>
      <x:c r="S31" s="225" t="str">
        <x:v>Ne pas sourcer</x:v>
      </x:c>
      <x:c r="T31" s="225" t="str"/>
      <x:c r="U31" s="225" t="str">
        <x:v>https://app.brandsearch.co/brand-analysis/esmart.de</x:v>
      </x:c>
      <x:c r="V31" s="225" t="str">
        <x:v>https://esmart.de/</x:v>
      </x:c>
      <x:c r="W31" s="225" t="str">
        <x:v>Entreprise spécialisée de 64 produits</x:v>
      </x:c>
      <x:c r="X31" s="225" t="str">
        <x:v>Aucun sourcing après STOP volume</x:v>
      </x:c>
      <x:c r="Y31" s="225" t="str">
        <x:v>Le trafic du témoin peut provenir de longues traînes et autres écrans</x:v>
      </x:c>
      <x:c r="Z31" s="225" t="str">
        <x:v>/Users/Hakim/Documents/Boutiques drop/boutique-pipeline/codex-chasse-clusters/reports/validation-multimarche-brandsearch-20260720-200609-a1.md</x:v>
      </x:c>
    </x:row>
    <x:row r="32" ht="54" customHeight="1">
      <x:c r="A32" s="225" t="n">
        <x:v>27</x:v>
      </x:c>
      <x:c r="B32" s="225" t="str">
        <x:v>EXCLU</x:v>
      </x:c>
      <x:c r="C32" s="225" t="n">
        <x:v>9</x:v>
      </x:c>
      <x:c r="D32" s="225" t="str">
        <x:v>Kit graphique complet motocross</x:v>
      </x:c>
      <x:c r="E32" s="225" t="str">
        <x:v>DE</x:v>
      </x:c>
      <x:c r="F32" s="226" t="n">
        <x:v>960</x:v>
      </x:c>
      <x:c r="G32" s="226" t="str">
        <x:v>DE autocollants moto</x:v>
      </x:c>
      <x:c r="H32" s="226" t="n">
        <x:v>19100</x:v>
      </x:c>
      <x:c r="I32" s="225" t="str">
        <x:v>arider.com</x:v>
      </x:c>
      <x:c r="J32" s="226" t="n">
        <x:v>119004</x:v>
      </x:c>
      <x:c r="K32" s="226" t="n">
        <x:v>40</x:v>
      </x:c>
      <x:c r="L32" s="226" t="n">
        <x:v>0</x:v>
      </x:c>
      <x:c r="M32" s="227" t="n">
        <x:v>158.84</x:v>
      </x:c>
      <x:c r="N32" s="227" t="n">
        <x:f>M32/'Méthode'!$B$5</x:f>
        <x:v>138.90686488850022</x:v>
      </x:c>
      <x:c r="O32" s="228"/>
      <x:c r="P32" s="225" t="str">
        <x:v>Prix moyen boutique 158,84 USD</x:v>
      </x:c>
      <x:c r="Q32" s="225" t="str">
        <x:v>STOP sous-produit propre</x:v>
      </x:c>
      <x:c r="R32" s="225" t="str">
        <x:v>Milliers de modèles/marques et kit complet sous 1K</x:v>
      </x:c>
      <x:c r="S32" s="225" t="str">
        <x:v>Ne pas sourcer</x:v>
      </x:c>
      <x:c r="T32" s="225" t="str"/>
      <x:c r="U32" s="225" t="str">
        <x:v>https://app.brandsearch.co/brand-analysis/arider.com</x:v>
      </x:c>
      <x:c r="V32" s="225" t="str">
        <x:v>https://arider.com/</x:v>
      </x:c>
      <x:c r="W32" s="225" t="str">
        <x:v>Famille autocollants moto 19 100, mais kit propre 960</x:v>
      </x:c>
      <x:c r="X32" s="225" t="str">
        <x:v>Répartition modèle/marque non attribuable</x:v>
      </x:c>
      <x:c r="Y32" s="225" t="str">
        <x:v>La très forte audience de marque ne prouve pas un cluster générique propre</x:v>
      </x:c>
      <x:c r="Z32" s="225" t="str">
        <x:v>/Users/Hakim/Documents/Boutiques drop/boutique-pipeline/codex-chasse-clusters/reports/validation-multimarche-brandsearch-20260720-200609-a1.md</x:v>
      </x:c>
    </x:row>
    <x:row r="33" ht="54" customHeight="1">
      <x:c r="A33" s="225" t="n">
        <x:v>28</x:v>
      </x:c>
      <x:c r="B33" s="225" t="str">
        <x:v>EXCLU</x:v>
      </x:c>
      <x:c r="C33" s="225" t="n">
        <x:v>9</x:v>
      </x:c>
      <x:c r="D33" s="225" t="str">
        <x:v>Toilette portable de camping</x:v>
      </x:c>
      <x:c r="E33" s="225" t="str">
        <x:v>FR</x:v>
      </x:c>
      <x:c r="F33" s="226" t="n">
        <x:v>8970</x:v>
      </x:c>
      <x:c r="G33" s="226" t="str"/>
      <x:c r="H33" s="226"/>
      <x:c r="I33" s="225" t="str">
        <x:v>casambu.com</x:v>
      </x:c>
      <x:c r="J33" s="226" t="n">
        <x:v>17119</x:v>
      </x:c>
      <x:c r="K33" s="226" t="n">
        <x:v>40</x:v>
      </x:c>
      <x:c r="L33" s="226" t="n">
        <x:v>0</x:v>
      </x:c>
      <x:c r="M33" s="227" t="n">
        <x:v>382.62</x:v>
      </x:c>
      <x:c r="N33" s="227" t="n">
        <x:f>M33/'Méthode'!$B$5</x:f>
        <x:v>334.6042850896371</x:v>
      </x:c>
      <x:c r="O33" s="228" t="n">
        <x:v>-0.065</x:v>
      </x:c>
      <x:c r="P33" s="225" t="str">
        <x:v>Prix moyen du catalogue 382,62 USD, pas du sous-produit</x:v>
      </x:c>
      <x:c r="Q33" s="225" t="str">
        <x:v>STOP volume</x:v>
      </x:c>
      <x:c r="R33" s="225" t="str">
        <x:v>Hygiène, pièces, retour et volume sous 10K</x:v>
      </x:c>
      <x:c r="S33" s="225" t="str">
        <x:v>Ne pas sourcer</x:v>
      </x:c>
      <x:c r="T33" s="225" t="str"/>
      <x:c r="U33" s="225" t="str">
        <x:v>https://app.brandsearch.co/brand-analysis/casambu.com</x:v>
      </x:c>
      <x:c r="V33" s="225" t="str">
        <x:v>https://casambu.com/</x:v>
      </x:c>
      <x:c r="W33" s="225" t="str">
        <x:v>FR 8 970/mois ; Trends −6,5 %</x:v>
      </x:c>
      <x:c r="X33" s="225" t="str">
        <x:v>Prix exact du sous-produit non mesuré</x:v>
      </x:c>
      <x:c r="Y33" s="225" t="str">
        <x:v>Le catalogue large explique probablement le prix moyen élevé</x:v>
      </x:c>
      <x:c r="Z33" s="225" t="str">
        <x:v>/Users/Hakim/Documents/Boutiques drop/boutique-pipeline/codex-chasse-clusters/reports/validation-multimarche-brandsearch-20260720-200609-a1.md</x:v>
      </x:c>
    </x:row>
    <x:row r="34" ht="54" customHeight="1">
      <x:c r="A34" s="225" t="n">
        <x:v>29</x:v>
      </x:c>
      <x:c r="B34" s="225" t="str">
        <x:v>EXCLU</x:v>
      </x:c>
      <x:c r="C34" s="225" t="n">
        <x:v>9</x:v>
      </x:c>
      <x:c r="D34" s="225" t="str">
        <x:v>Planche à découper en titane</x:v>
      </x:c>
      <x:c r="E34" s="225" t="str">
        <x:v>FR</x:v>
      </x:c>
      <x:c r="F34" s="226" t="n">
        <x:v>2640</x:v>
      </x:c>
      <x:c r="G34" s="226" t="str"/>
      <x:c r="H34" s="226"/>
      <x:c r="I34" s="225" t="str">
        <x:v>titanecook.com</x:v>
      </x:c>
      <x:c r="J34" s="226" t="n">
        <x:v>17555</x:v>
      </x:c>
      <x:c r="K34" s="226" t="n">
        <x:v>40</x:v>
      </x:c>
      <x:c r="L34" s="226" t="n">
        <x:v>0</x:v>
      </x:c>
      <x:c r="M34" s="227" t="n">
        <x:v>119.28</x:v>
      </x:c>
      <x:c r="N34" s="227" t="n">
        <x:f>M34/'Méthode'!$B$5</x:f>
        <x:v>104.31132487975515</x:v>
      </x:c>
      <x:c r="O34" s="228" t="n">
        <x:v>1</x:v>
      </x:c>
      <x:c r="P34" s="225" t="str">
        <x:v>Prix moyen boutique 119,28 USD</x:v>
      </x:c>
      <x:c r="Q34" s="225" t="str">
        <x:v>STOP volume</x:v>
      </x:c>
      <x:c r="R34" s="225" t="str">
        <x:v>Base Trends minuscule, matière/authenticité à prouver</x:v>
      </x:c>
      <x:c r="S34" s="225" t="str">
        <x:v>Ne pas sourcer</x:v>
      </x:c>
      <x:c r="T34" s="225" t="str"/>
      <x:c r="U34" s="225" t="str">
        <x:v>https://app.brandsearch.co/brand-analysis/titanecook.com</x:v>
      </x:c>
      <x:c r="V34" s="225" t="str">
        <x:v>https://titanecook.com/</x:v>
      </x:c>
      <x:c r="W34" s="225" t="str">
        <x:v>FR 2 640/mois ; Trends +100 % sur base quasi nulle</x:v>
      </x:c>
      <x:c r="X34" s="225" t="str">
        <x:v>Aucune preuve fournisseur ou matière</x:v>
      </x:c>
      <x:c r="Y34" s="225" t="str">
        <x:v>La croissance relative ne compense pas le manque de demande absolue</x:v>
      </x:c>
      <x:c r="Z34" s="225" t="str">
        <x:v>/Users/Hakim/Documents/Boutiques drop/boutique-pipeline/codex-chasse-clusters/reports/validation-multimarche-brandsearch-20260720-200609-a1.md</x:v>
      </x:c>
    </x:row>
    <x:row r="35" ht="54" customHeight="1">
      <x:c r="A35" s="225" t="n">
        <x:v>30</x:v>
      </x:c>
      <x:c r="B35" s="225" t="str">
        <x:v>EXCLU</x:v>
      </x:c>
      <x:c r="C35" s="225" t="n">
        <x:v>9</x:v>
      </x:c>
      <x:c r="D35" s="225" t="str">
        <x:v>Kit HDMI sans fil</x:v>
      </x:c>
      <x:c r="E35" s="225" t="str">
        <x:v>NL</x:v>
      </x:c>
      <x:c r="F35" s="226" t="n">
        <x:v>1210</x:v>
      </x:c>
      <x:c r="G35" s="226" t="str"/>
      <x:c r="H35" s="226"/>
      <x:c r="I35" s="225" t="str">
        <x:v>marmitek.com</x:v>
      </x:c>
      <x:c r="J35" s="226" t="n">
        <x:v>50011</x:v>
      </x:c>
      <x:c r="K35" s="226" t="n">
        <x:v>40</x:v>
      </x:c>
      <x:c r="L35" s="226" t="n">
        <x:v>0</x:v>
      </x:c>
      <x:c r="M35" s="227" t="n">
        <x:v>120.1</x:v>
      </x:c>
      <x:c r="N35" s="227" t="n">
        <x:f>M35/'Méthode'!$B$5</x:f>
        <x:v>105.02842151289899</x:v>
      </x:c>
      <x:c r="O35" s="228"/>
      <x:c r="P35" s="225" t="str">
        <x:v>Prix moyen boutique 120,10 USD</x:v>
      </x:c>
      <x:c r="Q35" s="225" t="str">
        <x:v>STOP volume</x:v>
      </x:c>
      <x:c r="R35" s="225" t="str">
        <x:v>Latence, HDCP, résolution, portée et SAV</x:v>
      </x:c>
      <x:c r="S35" s="225" t="str">
        <x:v>Ne pas sourcer</x:v>
      </x:c>
      <x:c r="T35" s="225" t="str"/>
      <x:c r="U35" s="225" t="str">
        <x:v>https://app.brandsearch.co/brand-analysis/marmitek.com</x:v>
      </x:c>
      <x:c r="V35" s="225" t="str">
        <x:v>https://marmitek.com/</x:v>
      </x:c>
      <x:c r="W35" s="225" t="str">
        <x:v>NL 1 210/mois ; marque à 50 011 visites</x:v>
      </x:c>
      <x:c r="X35" s="225" t="str">
        <x:v>Aucun sourcing après STOP volume</x:v>
      </x:c>
      <x:c r="Y35" s="225" t="str">
        <x:v>La force de Marmitek ne prouve pas une demande générique suffisante</x:v>
      </x:c>
      <x:c r="Z35" s="225" t="str">
        <x:v>/Users/Hakim/Documents/Boutiques drop/boutique-pipeline/codex-chasse-clusters/reports/validation-multimarche-brandsearch-20260720-200609-a1.md</x:v>
      </x:c>
    </x:row>
  </x:sheetData>
  <x:mergeCells>
    <x:mergeCell ref="A1:Z2"/>
    <x:mergeCell ref="A3:Z3"/>
  </x:mergeCells>
  <x:conditionalFormatting sqref="A6:Z35">
    <x:cfRule type="expression" dxfId="0" priority="1">
      <x:formula>$B6="VALIDÉ"</x:formula>
    </x:cfRule>
    <x:cfRule type="expression" dxfId="1" priority="2">
      <x:formula>$B6="À CREUSER"</x:formula>
    </x:cfRule>
    <x:cfRule type="expression" dxfId="2" priority="3">
      <x:formula>$B6="EXCLU"</x:formula>
    </x:cfRule>
  </x:conditionalFormatting>
  <x:dataValidations count="1">
    <x:dataValidation type="list" sqref="B6:B35">
      <x:formula1>"VALIDÉ,À CREUSER,EXCLU"</x:formula1>
    </x:dataValidation>
  </x:dataValidations>
  <x:pageMargins left="0.7" right="0.7" top="0.75" bottom="0.75" header="0.3" footer="0.3"/>
  <x:tableParts count="1">
    <x:tablePart xmlns:r="http://schemas.openxmlformats.org/officeDocument/2006/relationships" r:id="R013c75ec0fdf489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20" hidden="0" customWidth="1"/>
    <x:col min="4" max="4" width="14" hidden="0" customWidth="1"/>
    <x:col min="5" max="5" width="12" hidden="0" customWidth="1"/>
    <x:col min="6" max="6" width="12" hidden="0" customWidth="1"/>
    <x:col min="7" max="7" width="13" hidden="0" customWidth="1"/>
    <x:col min="8" max="8" width="13" hidden="0" customWidth="1"/>
    <x:col min="9" max="9" width="12" hidden="0" customWidth="1"/>
    <x:col min="10" max="10" width="12" hidden="0" customWidth="1"/>
    <x:col min="11" max="11" width="12" hidden="0" customWidth="1"/>
    <x:col min="12" max="12" width="42" hidden="0" customWidth="1"/>
    <x:col min="13" max="13" width="70" hidden="0" customWidth="1"/>
    <x:col min="14" max="14" width="42" hidden="0" customWidth="1"/>
  </x:cols>
  <x:sheetData>
    <x:row r="1">
      <x:c r="A1" s="229" t="str">
        <x:v>Pays</x:v>
      </x:c>
      <x:c r="B1" s="229" t="str">
        <x:v>Domaine</x:v>
      </x:c>
      <x:c r="C1" s="229" t="str">
        <x:v>Niche</x:v>
      </x:c>
      <x:c r="D1" s="229" t="str">
        <x:v>Visites mensuelles</x:v>
      </x:c>
      <x:c r="E1" s="229" t="str">
        <x:v>Google Ads actives</x:v>
      </x:c>
      <x:c r="F1" s="229" t="str">
        <x:v>Meta Ads actives</x:v>
      </x:c>
      <x:c r="G1" s="229" t="str">
        <x:v>Prix moyen USD</x:v>
      </x:c>
      <x:c r="H1" s="229" t="str">
        <x:v>Prix moyen EUR</x:v>
      </x:c>
      <x:c r="I1" s="229" t="str">
        <x:v>Prix min USD</x:v>
      </x:c>
      <x:c r="J1" s="229" t="str">
        <x:v>Prix max USD</x:v>
      </x:c>
      <x:c r="K1" s="229" t="str">
        <x:v>Nombre produits</x:v>
      </x:c>
      <x:c r="L1" s="229" t="str">
        <x:v>Produits génériques</x:v>
      </x:c>
      <x:c r="M1" s="229" t="str">
        <x:v>Description</x:v>
      </x:c>
      <x:c r="N1" s="229" t="str">
        <x:v>URL BrandSearch</x:v>
      </x:c>
    </x:row>
    <x:row r="2" ht="21" customHeight="1">
      <x:c r="A2" s="230" t="str">
        <x:v>BE</x:v>
      </x:c>
      <x:c r="B2" s="230" t="str">
        <x:v>morifilmlab.com</x:v>
      </x:c>
      <x:c r="C2" s="230" t="str">
        <x:v>Electronics &amp; Tech</x:v>
      </x:c>
      <x:c r="D2" s="231" t="n">
        <x:v>40238</x:v>
      </x:c>
      <x:c r="E2" s="231" t="n">
        <x:v>40</x:v>
      </x:c>
      <x:c r="F2" s="231" t="n">
        <x:v>0</x:v>
      </x:c>
      <x:c r="G2" s="232" t="n">
        <x:v>101.84</x:v>
      </x:c>
      <x:c r="H2" s="232" t="n">
        <x:f>G2/'Méthode'!$B$5</x:f>
        <x:v>89.05990380411019</x:v>
      </x:c>
      <x:c r="I2" s="232" t="n">
        <x:v>0.56</x:v>
      </x:c>
      <x:c r="J2" s="232" t="n">
        <x:v>7751.63</x:v>
      </x:c>
      <x:c r="K2" s="231" t="n">
        <x:v>2000</x:v>
      </x:c>
      <x:c r="L2" s="230" t="str">
        <x:v>film rolls ; film developing services ; film scanning ; refurbished film cameras ; photo walks ; community darkroom access ; exhibition events</x:v>
      </x:c>
      <x:c r="M2" s="230" t="str">
        <x:v>100% film photography lab in Brussels. High-quality film developing and scanning, refurbished film cameras, photo walks, community exhibitions and fully fledged community darkroom.</x:v>
      </x:c>
      <x:c r="N2" s="230" t="str">
        <x:v>https://app.brandsearch.co/brand-analysis/morifilmlab.com</x:v>
      </x:c>
    </x:row>
    <x:row r="3" ht="21" customHeight="1">
      <x:c r="A3" s="230" t="str">
        <x:v>BE</x:v>
      </x:c>
      <x:c r="B3" s="230" t="str">
        <x:v>blusss.com</x:v>
      </x:c>
      <x:c r="C3" s="230" t="str">
        <x:v>Baby &amp; Kids</x:v>
      </x:c>
      <x:c r="D3" s="231" t="n">
        <x:v>23375</x:v>
      </x:c>
      <x:c r="E3" s="231" t="n">
        <x:v>40</x:v>
      </x:c>
      <x:c r="F3" s="231" t="n">
        <x:v>0</x:v>
      </x:c>
      <x:c r="G3" s="232" t="n">
        <x:v>121.38</x:v>
      </x:c>
      <x:c r="H3" s="232" t="n">
        <x:f>G3/'Méthode'!$B$5</x:f>
        <x:v>106.14779186707477</x:v>
      </x:c>
      <x:c r="I3" s="232" t="n">
        <x:v>13.24</x:v>
      </x:c>
      <x:c r="J3" s="232" t="n">
        <x:v>330.91</x:v>
      </x:c>
      <x:c r="K3" s="231" t="n">
        <x:v>121</x:v>
      </x:c>
      <x:c r="L3" s="230" t="str">
        <x:v>sensory clothing ; sensory socks ; fidget toys ; sensory boxes ; stress relief products</x:v>
      </x:c>
      <x:c r="M3" s="230" t="str">
        <x:v>Discover Blusss for sensory sensitive kids and adults, where comfort meets innovation. Explore our specially designed clothing for sensory-sensitive individuals, blending style and functionality to enhance everyday experiences. Shop now for thoughtfully crafted, inclusive apparel</x:v>
      </x:c>
      <x:c r="N3" s="230" t="str">
        <x:v>https://app.brandsearch.co/brand-analysis/blusss.com</x:v>
      </x:c>
    </x:row>
    <x:row r="4" ht="21" customHeight="1">
      <x:c r="A4" s="230" t="str">
        <x:v>BE</x:v>
      </x:c>
      <x:c r="B4" s="230" t="str">
        <x:v>www.e-woodproducts.com</x:v>
      </x:c>
      <x:c r="C4" s="230" t="str">
        <x:v>Home &amp; Garden</x:v>
      </x:c>
      <x:c r="D4" s="231" t="n">
        <x:v>15386</x:v>
      </x:c>
      <x:c r="E4" s="231" t="n">
        <x:v>40</x:v>
      </x:c>
      <x:c r="F4" s="231" t="n">
        <x:v>0</x:v>
      </x:c>
      <x:c r="G4" s="232" t="n">
        <x:v>213.86</x:v>
      </x:c>
      <x:c r="H4" s="232" t="n">
        <x:f>G4/'Méthode'!$B$5</x:f>
        <x:v>187.02229995627462</x:v>
      </x:c>
      <x:c r="I4" s="232" t="n">
        <x:v>11.35</x:v>
      </x:c>
      <x:c r="J4" s="232" t="n">
        <x:v>1141.93</x:v>
      </x:c>
      <x:c r="K4" s="231" t="n">
        <x:v>426</x:v>
      </x:c>
      <x:c r="L4" s="230" t="str">
        <x:v>garden benches ; picnic tables ; garden furniture ; garden accessories ; outdoor wooden furniture ; garden decor</x:v>
      </x:c>
      <x:c r="M4" s="230" t="str">
        <x:v>Duurzame houten tuinmeubelen, picknicktafels en tuinbanken bij E-woodproducts. Snel geleverd in België en heel Europa. Persoonlijk advies met 15+ jaar ervaring.</x:v>
      </x:c>
      <x:c r="N4" s="230" t="str">
        <x:v>https://app.brandsearch.co/brand-analysis/e-woodproducts.com</x:v>
      </x:c>
    </x:row>
    <x:row r="5" ht="21" customHeight="1">
      <x:c r="A5" s="230" t="str">
        <x:v>BE</x:v>
      </x:c>
      <x:c r="B5" s="230" t="str">
        <x:v>swatchvintagecollection.com</x:v>
      </x:c>
      <x:c r="C5" s="230" t="str">
        <x:v>Fashion</x:v>
      </x:c>
      <x:c r="D5" s="231" t="n">
        <x:v>6086</x:v>
      </x:c>
      <x:c r="E5" s="231" t="n">
        <x:v>40</x:v>
      </x:c>
      <x:c r="F5" s="231" t="n">
        <x:v>0</x:v>
      </x:c>
      <x:c r="G5" s="232" t="n">
        <x:v>201.71</x:v>
      </x:c>
      <x:c r="H5" s="232" t="n">
        <x:f>G5/'Méthode'!$B$5</x:f>
        <x:v>176.39702667249674</x:v>
      </x:c>
      <x:c r="I5" s="232" t="n">
        <x:v>106.03</x:v>
      </x:c>
      <x:c r="J5" s="232" t="n">
        <x:v>2855.95</x:v>
      </x:c>
      <x:c r="K5" s="231" t="n">
        <x:v>610</x:v>
      </x:c>
      <x:c r="L5" s="230" t="str">
        <x:v>vintage watches ; collectible timepieces ; fashion watches ; limited edition watches ; art collaboration watches</x:v>
      </x:c>
      <x:c r="M5" s="230" t="str">
        <x:v>Swatch Vintage Collection. The home of vintage Swatch watches manufactured between years 1983-2000. Special designs made in collaboration with famous artists. NEW OLD STOCK - New and unworn, sold with original box and papers</x:v>
      </x:c>
      <x:c r="N5" s="230" t="str">
        <x:v>https://app.brandsearch.co/brand-analysis/swatchvintagecollection.com</x:v>
      </x:c>
    </x:row>
    <x:row r="6" ht="21" customHeight="1">
      <x:c r="A6" s="230" t="str">
        <x:v>BE</x:v>
      </x:c>
      <x:c r="B6" s="230" t="str">
        <x:v>batteryservicelimburg.be</x:v>
      </x:c>
      <x:c r="C6" s="230" t="str">
        <x:v>Automotive</x:v>
      </x:c>
      <x:c r="D6" s="231" t="n">
        <x:v>3713</x:v>
      </x:c>
      <x:c r="E6" s="231" t="n">
        <x:v>40</x:v>
      </x:c>
      <x:c r="F6" s="231" t="n">
        <x:v>0</x:v>
      </x:c>
      <x:c r="G6" s="232" t="n">
        <x:v>161.38</x:v>
      </x:c>
      <x:c r="H6" s="232" t="n">
        <x:f>G6/'Méthode'!$B$5</x:f>
        <x:v>141.12811543506777</x:v>
      </x:c>
      <x:c r="I6" s="232" t="n">
        <x:v>0.57</x:v>
      </x:c>
      <x:c r="J6" s="232" t="n">
        <x:v>7295.89</x:v>
      </x:c>
      <x:c r="K6" s="231" t="n">
        <x:v>2000</x:v>
      </x:c>
      <x:c r="L6" s="230" t="str">
        <x:v>bike batteries ; power banks ; battery chargers ; electronic cables ; battery repair services ; battery replacements ; cycling accessories</x:v>
      </x:c>
      <x:c r="M6" s="230" t="str">
        <x:v>E-bike accu revisie, reparatie of nieuwe accu kopen in Hasselt &amp; Limburg? BSL – specialist in fietsaccu herstelling. Vanaf €350, 2 jaar garantie. Bosch, Shimano &amp; 20+ merken.</x:v>
      </x:c>
      <x:c r="N6" s="230" t="str">
        <x:v>https://app.brandsearch.co/brand-analysis/batteryservicelimburg.be</x:v>
      </x:c>
    </x:row>
    <x:row r="7" ht="21" customHeight="1">
      <x:c r="A7" s="230" t="str">
        <x:v>BE</x:v>
      </x:c>
      <x:c r="B7" s="230" t="str">
        <x:v>www.maddelin.be</x:v>
      </x:c>
      <x:c r="C7" s="230" t="str">
        <x:v>Sports &amp; Outdoors</x:v>
      </x:c>
      <x:c r="D7" s="231" t="n">
        <x:v>2525</x:v>
      </x:c>
      <x:c r="E7" s="231" t="n">
        <x:v>40</x:v>
      </x:c>
      <x:c r="F7" s="231" t="n">
        <x:v>0</x:v>
      </x:c>
      <x:c r="G7" s="232" t="n">
        <x:v>135.06</x:v>
      </x:c>
      <x:c r="H7" s="232" t="n">
        <x:f>G7/'Méthode'!$B$5</x:f>
        <x:v>118.11106252732839</x:v>
      </x:c>
      <x:c r="I7" s="232" t="n">
        <x:v>1</x:v>
      </x:c>
      <x:c r="J7" s="232" t="n">
        <x:v>7657</x:v>
      </x:c>
      <x:c r="K7" s="231" t="n">
        <x:v>2000</x:v>
      </x:c>
      <x:c r="L7" s="230" t="str">
        <x:v>horse riding apparel ; equestrian accessories ; horse care products ; riding gear ; horse equipment</x:v>
      </x:c>
      <x:c r="M7" s="230" t="str">
        <x:v>Maddelin is the online equestrian shop for quality equestrian equipment, stylish outfits, and premium care products for horse and rider.</x:v>
      </x:c>
      <x:c r="N7" s="230" t="str">
        <x:v>https://app.brandsearch.co/brand-analysis/maddelin.be</x:v>
      </x:c>
    </x:row>
    <x:row r="8" ht="21" customHeight="1">
      <x:c r="A8" s="230" t="str">
        <x:v>BE</x:v>
      </x:c>
      <x:c r="B8" s="230" t="str">
        <x:v>vegrid.be</x:v>
      </x:c>
      <x:c r="C8" s="230" t="str">
        <x:v>Fashion</x:v>
      </x:c>
      <x:c r="D8" s="231" t="n">
        <x:v>2307</x:v>
      </x:c>
      <x:c r="E8" s="231" t="n">
        <x:v>40</x:v>
      </x:c>
      <x:c r="F8" s="231" t="n">
        <x:v>0</x:v>
      </x:c>
      <x:c r="G8" s="232" t="n">
        <x:v>190.3</x:v>
      </x:c>
      <x:c r="H8" s="232" t="n">
        <x:f>G8/'Méthode'!$B$5</x:f>
        <x:v>166.41888937472675</x:v>
      </x:c>
      <x:c r="I8" s="232" t="n">
        <x:v>5.71</x:v>
      </x:c>
      <x:c r="J8" s="232" t="n">
        <x:v>359.72</x:v>
      </x:c>
      <x:c r="K8" s="231" t="n">
        <x:v>1208</x:v>
      </x:c>
      <x:c r="L8" s="230" t="str">
        <x:v>comfort shoes ; orthopedic shoes ; custom insoles ; supportive footwear ; medical footwear</x:v>
      </x:c>
      <x:c r="M8" s="230" t="str">
        <x:v>Schoenen VEGRID is jouw specialist in comfortschoenen die ook geschikt zijn om met je eigen steunzolen of podologische zolen te dragen. Ontdek ons ruim aanbod online!</x:v>
      </x:c>
      <x:c r="N8" s="230" t="str">
        <x:v>https://app.brandsearch.co/brand-analysis/vegrid.be</x:v>
      </x:c>
    </x:row>
    <x:row r="9" ht="21" customHeight="1">
      <x:c r="A9" s="230" t="str">
        <x:v>BE</x:v>
      </x:c>
      <x:c r="B9" s="230" t="str">
        <x:v>www.fenestras24.com</x:v>
      </x:c>
      <x:c r="C9" s="230" t="str">
        <x:v>Home Decor</x:v>
      </x:c>
      <x:c r="D9" s="231" t="n">
        <x:v>2095</x:v>
      </x:c>
      <x:c r="E9" s="231" t="n">
        <x:v>40</x:v>
      </x:c>
      <x:c r="F9" s="231" t="n">
        <x:v>0</x:v>
      </x:c>
      <x:c r="G9" s="232" t="n">
        <x:v>329.39</x:v>
      </x:c>
      <x:c r="H9" s="232" t="n">
        <x:f>G9/'Méthode'!$B$5</x:f>
        <x:v>288.0542195015304</x:v>
      </x:c>
      <x:c r="I9" s="232" t="n">
        <x:v>11.75</x:v>
      </x:c>
      <x:c r="J9" s="232" t="n">
        <x:v>1871.5</x:v>
      </x:c>
      <x:c r="K9" s="231" t="n">
        <x:v>114</x:v>
      </x:c>
      <x:c r="L9" s="230" t="str">
        <x:v>window profiles ; door frames ; building materials ; interior finishing products</x:v>
      </x:c>
      <x:c r="M9" s="230" t="str">
        <x:v>Fenestras24 biedt hoogwaardige ramen, deuren, garagepoorten en zonwering volledig op maat. Profiteer van eigen productie, snelle levering, 10 jaar garantie op Hörmann garagepoorten en levering en plaatsing overal in België en Nederland. Ontdek eenvoudig maatwerk online.</x:v>
      </x:c>
      <x:c r="N9" s="230" t="str">
        <x:v>https://app.brandsearch.co/brand-analysis/fenestras24.com</x:v>
      </x:c>
    </x:row>
    <x:row r="10" ht="21" customHeight="1">
      <x:c r="A10" s="230" t="str">
        <x:v>BE</x:v>
      </x:c>
      <x:c r="B10" s="230" t="str">
        <x:v>ontuning.be</x:v>
      </x:c>
      <x:c r="C10" s="230" t="str">
        <x:v>Automotive</x:v>
      </x:c>
      <x:c r="D10" s="231" t="n">
        <x:v>2037</x:v>
      </x:c>
      <x:c r="E10" s="231" t="n">
        <x:v>40</x:v>
      </x:c>
      <x:c r="F10" s="231" t="n">
        <x:v>0</x:v>
      </x:c>
      <x:c r="G10" s="232" t="n">
        <x:v>109.12</x:v>
      </x:c>
      <x:c r="H10" s="232" t="n">
        <x:f>G10/'Méthode'!$B$5</x:f>
        <x:v>95.42632269348492</x:v>
      </x:c>
      <x:c r="I10" s="232" t="n">
        <x:v>3.99</x:v>
      </x:c>
      <x:c r="J10" s="232" t="n">
        <x:v>251.21</x:v>
      </x:c>
      <x:c r="K10" s="231" t="n">
        <x:v>281</x:v>
      </x:c>
      <x:c r="L10" s="230" t="str">
        <x:v>car tuning parts ; car spoilers ; grilles ; wrap films ; window tinting tools ; car decals ; car styling accessories</x:v>
      </x:c>
      <x:c r="M10" s="230" t="str">
        <x:v>On Tuning biedt exclusieve tuningonderdelen van topkwaliteit voor BMW, Mercedes, Audi en Tesla modellen. Ontdek ons assortiment voor ultieme prestaties en stijl. Eenvoudig online bestellen, snelle levering. Bestel nu en ontvang uw bestelling binnen de 3 werkdagen thuis met gratis verzending!</x:v>
      </x:c>
      <x:c r="N10" s="230" t="str">
        <x:v>https://app.brandsearch.co/brand-analysis/ontuning.be</x:v>
      </x:c>
    </x:row>
    <x:row r="11" ht="21" customHeight="1">
      <x:c r="A11" s="230" t="str">
        <x:v>BE</x:v>
      </x:c>
      <x:c r="B11" s="230" t="str">
        <x:v>collectorsclub.cc</x:v>
      </x:c>
      <x:c r="C11" s="230" t="str">
        <x:v>Fashion</x:v>
      </x:c>
      <x:c r="D11" s="231" t="n">
        <x:v>1900</x:v>
      </x:c>
      <x:c r="E11" s="231" t="n">
        <x:v>40</x:v>
      </x:c>
      <x:c r="F11" s="231" t="n">
        <x:v>0</x:v>
      </x:c>
      <x:c r="G11" s="232" t="n">
        <x:v>354.95</x:v>
      </x:c>
      <x:c r="H11" s="232" t="n">
        <x:f>G11/'Méthode'!$B$5</x:f>
        <x:v>310.40664626147793</x:v>
      </x:c>
      <x:c r="I11" s="232" t="n">
        <x:v>39.97</x:v>
      </x:c>
      <x:c r="J11" s="232" t="n">
        <x:v>15136.94</x:v>
      </x:c>
      <x:c r="K11" s="231" t="n">
        <x:v>772</x:v>
      </x:c>
      <x:c r="L11" s="230" t="str">
        <x:v>blazers ; blouses ; pullovers ; tops ; pants ; skirts ; dresses</x:v>
      </x:c>
      <x:c r="M11" s="230" t="str">
        <x:v>Collectors Club is a creative club without borders, where fashion knows no limits. We defy norms, exploring our boundless creativity. As both retailers turned designers, we effortlessly blend fabrics, textures, and fits, creating smart clothes that resonate.</x:v>
      </x:c>
      <x:c r="N11" s="230" t="str">
        <x:v>https://app.brandsearch.co/brand-analysis/collectorsclub.cc</x:v>
      </x:c>
    </x:row>
    <x:row r="12" ht="21" customHeight="1">
      <x:c r="A12" s="230" t="str">
        <x:v>BE</x:v>
      </x:c>
      <x:c r="B12" s="230" t="str">
        <x:v>www.santurel.net</x:v>
      </x:c>
      <x:c r="C12" s="230" t="str">
        <x:v>Health &amp; Supplements</x:v>
      </x:c>
      <x:c r="D12" s="231" t="n">
        <x:v>814</x:v>
      </x:c>
      <x:c r="E12" s="231" t="n">
        <x:v>40</x:v>
      </x:c>
      <x:c r="F12" s="231" t="n">
        <x:v>0</x:v>
      </x:c>
      <x:c r="G12" s="232" t="n">
        <x:v>103.11</x:v>
      </x:c>
      <x:c r="H12" s="232" t="n">
        <x:f>G12/'Méthode'!$B$5</x:f>
        <x:v>90.17052907739397</x:v>
      </x:c>
      <x:c r="I12" s="232" t="n">
        <x:v>22.78</x:v>
      </x:c>
      <x:c r="J12" s="232" t="n">
        <x:v>241.02</x:v>
      </x:c>
      <x:c r="K12" s="231" t="n">
        <x:v>34</x:v>
      </x:c>
      <x:c r="L12" s="230" t="str">
        <x:v>nutritional supplements ; vitamins ; minerals ; herbal extracts ; omega-3 capsules ; magnesium supplements ; antioxidant blends</x:v>
      </x:c>
      <x:c r="M12" s="230" t="str">
        <x:v>Santurel – hoogwaardige voedingssupplementen met pure, natuurlijke ingrediënten. Ontdek vitamines, Omega‑3 en supplementen van topkwaliteit.</x:v>
      </x:c>
      <x:c r="N12" s="230" t="str">
        <x:v>https://app.brandsearch.co/brand-analysis/santurel.net</x:v>
      </x:c>
    </x:row>
    <x:row r="13" ht="21" customHeight="1">
      <x:c r="A13" s="230" t="str">
        <x:v>BE</x:v>
      </x:c>
      <x:c r="B13" s="230" t="str">
        <x:v>easynrj.com</x:v>
      </x:c>
      <x:c r="C13" s="230" t="str">
        <x:v>Home &amp; Garden</x:v>
      </x:c>
      <x:c r="D13" s="231" t="n">
        <x:v>657</x:v>
      </x:c>
      <x:c r="E13" s="231" t="n">
        <x:v>40</x:v>
      </x:c>
      <x:c r="F13" s="231" t="n">
        <x:v>0</x:v>
      </x:c>
      <x:c r="G13" s="232" t="n">
        <x:v>231.68</x:v>
      </x:c>
      <x:c r="H13" s="232" t="n">
        <x:f>G13/'Méthode'!$B$5</x:f>
        <x:v>202.6060341058155</x:v>
      </x:c>
      <x:c r="I13" s="232" t="n">
        <x:v>28.54</x:v>
      </x:c>
      <x:c r="J13" s="232" t="n">
        <x:v>569.84</x:v>
      </x:c>
      <x:c r="K13" s="231" t="n">
        <x:v>9</x:v>
      </x:c>
      <x:c r="L13" s="230" t="str">
        <x:v>smart plugs ; energy consumption indicators ; solar chargers ; smart meters ; energy management systems</x:v>
      </x:c>
      <x:c r="M13" s="230" t="str">
        <x:v>Embrace sustainable living with easyNRJ's eco-friendly energy solutions. Explore our range of smart plugs and consumption indicators designed to reduce your carbon footprint while optimizing your solar energy use and savings.</x:v>
      </x:c>
      <x:c r="N13" s="230" t="str">
        <x:v>https://app.brandsearch.co/brand-analysis/easynrj.com</x:v>
      </x:c>
    </x:row>
    <x:row r="14" ht="21" customHeight="1">
      <x:c r="A14" s="230" t="str">
        <x:v>BE</x:v>
      </x:c>
      <x:c r="B14" s="230" t="str">
        <x:v>kristinadecourt.be</x:v>
      </x:c>
      <x:c r="C14" s="230" t="str">
        <x:v>Beauty &amp; Skincare</x:v>
      </x:c>
      <x:c r="D14" s="231" t="n">
        <x:v>605</x:v>
      </x:c>
      <x:c r="E14" s="231" t="n">
        <x:v>40</x:v>
      </x:c>
      <x:c r="F14" s="231" t="n">
        <x:v>0</x:v>
      </x:c>
      <x:c r="G14" s="232" t="n">
        <x:v>143.31</x:v>
      </x:c>
      <x:c r="H14" s="232" t="n">
        <x:f>G14/'Méthode'!$B$5</x:f>
        <x:v>125.32575426322694</x:v>
      </x:c>
      <x:c r="I14" s="232" t="n">
        <x:v>4</x:v>
      </x:c>
      <x:c r="J14" s="232" t="n">
        <x:v>1084.82</x:v>
      </x:c>
      <x:c r="K14" s="231" t="n">
        <x:v>186</x:v>
      </x:c>
      <x:c r="L14" s="230" t="str">
        <x:v>skincare products ; facial treatments ; masks ; creams ; lotions ; serums</x:v>
      </x:c>
      <x:c r="M14" s="230" t="str">
        <x:v>Kristina Decourt - Skin Solutions - Biologique Recherche Brussels / Bruxelles. Philosophy: there are no two individuals who have the same skin.</x:v>
      </x:c>
      <x:c r="N14" s="230" t="str">
        <x:v>https://app.brandsearch.co/brand-analysis/kristinadecourt.be</x:v>
      </x:c>
    </x:row>
    <x:row r="15" ht="21" customHeight="1">
      <x:c r="A15" s="230" t="str">
        <x:v>BE</x:v>
      </x:c>
      <x:c r="B15" s="230" t="str">
        <x:v>highlandsleather.com</x:v>
      </x:c>
      <x:c r="C15" s="230" t="str">
        <x:v>Fashion</x:v>
      </x:c>
      <x:c r="D15" s="231" t="n">
        <x:v>478</x:v>
      </x:c>
      <x:c r="E15" s="231" t="n">
        <x:v>40</x:v>
      </x:c>
      <x:c r="F15" s="231" t="n">
        <x:v>0</x:v>
      </x:c>
      <x:c r="G15" s="232" t="n">
        <x:v>119.9</x:v>
      </x:c>
      <x:c r="H15" s="232" t="n">
        <x:f>G15/'Méthode'!$B$5</x:f>
        <x:v>104.85351989505904</x:v>
      </x:c>
      <x:c r="I15" s="232" t="n">
        <x:v>28.55</x:v>
      </x:c>
      <x:c r="J15" s="232" t="n">
        <x:v>228.38</x:v>
      </x:c>
      <x:c r="K15" s="231" t="n">
        <x:v>18</x:v>
      </x:c>
      <x:c r="L15" s="230" t="str">
        <x:v>leather travel bags ; crossbody bags ; shoulder bags ; laptop bags ; backpacks ; wash bags</x:v>
      </x:c>
      <x:c r="M15" s="230" t="str">
        <x:v>Ontdek Highlands: premium leren tassen gemaakt voor avontuur, stijl en duurzaamheid. Tijdloze ontwerpen, gemaakt voor reizigers, professionals en alledaagse ontdekkingsreizigers. Koop nu en verhoog uw reis.</x:v>
      </x:c>
      <x:c r="N15" s="230" t="str">
        <x:v>https://app.brandsearch.co/brand-analysis/highlandsleather.com</x:v>
      </x:c>
    </x:row>
    <x:row r="16" ht="21" customHeight="1">
      <x:c r="A16" s="230" t="str">
        <x:v>BE</x:v>
      </x:c>
      <x:c r="B16" s="230" t="str">
        <x:v>www.30seven.com</x:v>
      </x:c>
      <x:c r="C16" s="230" t="str">
        <x:v>Fashion</x:v>
      </x:c>
      <x:c r="D16" s="231" t="n">
        <x:v>386</x:v>
      </x:c>
      <x:c r="E16" s="231" t="n">
        <x:v>40</x:v>
      </x:c>
      <x:c r="F16" s="231" t="n">
        <x:v>0</x:v>
      </x:c>
      <x:c r="G16" s="232" t="n">
        <x:v>144.53</x:v>
      </x:c>
      <x:c r="H16" s="232" t="n">
        <x:f>G16/'Méthode'!$B$5</x:f>
        <x:v>126.39265413205072</x:v>
      </x:c>
      <x:c r="I16" s="232" t="n">
        <x:v>17.41</x:v>
      </x:c>
      <x:c r="J16" s="232" t="n">
        <x:v>212.99</x:v>
      </x:c>
      <x:c r="K16" s="231" t="n">
        <x:v>36</x:v>
      </x:c>
      <x:c r="L16" s="230" t="str">
        <x:v>heated gloves ; heated jackets ; heated base layers ; heated socks ; heated insoles</x:v>
      </x:c>
      <x:c r="M16" s="230" t="str">
        <x:v>Discover 30seven heated clothing – jackets, gloves, socks &amp; layers. Built for warmth, comfort and outdoor adventures.</x:v>
      </x:c>
      <x:c r="N16" s="230" t="str">
        <x:v>https://app.brandsearch.co/brand-analysis/30seven.com</x:v>
      </x:c>
    </x:row>
    <x:row r="17" ht="21" customHeight="1">
      <x:c r="A17" s="230" t="str">
        <x:v>BE</x:v>
      </x:c>
      <x:c r="B17" s="230" t="str">
        <x:v>www.brazaniwatches.com</x:v>
      </x:c>
      <x:c r="C17" s="230" t="str">
        <x:v>Fashion</x:v>
      </x:c>
      <x:c r="D17" s="231" t="n">
        <x:v>369</x:v>
      </x:c>
      <x:c r="E17" s="231" t="n">
        <x:v>40</x:v>
      </x:c>
      <x:c r="F17" s="231" t="n">
        <x:v>0</x:v>
      </x:c>
      <x:c r="G17" s="232" t="n">
        <x:v>110.77</x:v>
      </x:c>
      <x:c r="H17" s="232" t="n">
        <x:f>G17/'Méthode'!$B$5</x:f>
        <x:v>96.86926104066463</x:v>
      </x:c>
      <x:c r="I17" s="232" t="n">
        <x:v>92.5</x:v>
      </x:c>
      <x:c r="J17" s="232" t="n">
        <x:v>198.7</x:v>
      </x:c>
      <x:c r="K17" s="231" t="n">
        <x:v>24</x:v>
      </x:c>
      <x:c r="L17" s="230" t="str">
        <x:v>luxury watches ; timepieces ; watch accessories ; watch tools</x:v>
      </x:c>
      <x:c r="M17" s="230" t="str">
        <x:v>Technical Luxury. Built Different. Architectural watches for men who refuse the ordinary.</x:v>
      </x:c>
      <x:c r="N17" s="230" t="str">
        <x:v>https://app.brandsearch.co/brand-analysis/brazaniwatches.com</x:v>
      </x:c>
    </x:row>
    <x:row r="18" ht="21" customHeight="1">
      <x:c r="A18" s="230" t="str">
        <x:v>BE</x:v>
      </x:c>
      <x:c r="B18" s="230" t="str">
        <x:v>msteering.com</x:v>
      </x:c>
      <x:c r="C18" s="230" t="str">
        <x:v>Automotive</x:v>
      </x:c>
      <x:c r="D18" s="231" t="n">
        <x:v>145</x:v>
      </x:c>
      <x:c r="E18" s="231" t="n">
        <x:v>40</x:v>
      </x:c>
      <x:c r="F18" s="231" t="n">
        <x:v>0</x:v>
      </x:c>
      <x:c r="G18" s="232" t="n">
        <x:v>316.04</x:v>
      </x:c>
      <x:c r="H18" s="232" t="n">
        <x:f>G18/'Méthode'!$B$5</x:f>
        <x:v>276.37953651071274</x:v>
      </x:c>
      <x:c r="I18" s="232" t="n">
        <x:v>274.07</x:v>
      </x:c>
      <x:c r="J18" s="232" t="n">
        <x:v>388.27</x:v>
      </x:c>
      <x:c r="K18" s="231" t="n">
        <x:v>10</x:v>
      </x:c>
      <x:c r="L18" s="230" t="str">
        <x:v>car steering wheels ; car airbag modules ; car paddles ; car accessories</x:v>
      </x:c>
      <x:c r="M18" s="230" t="str">
        <x:v>MSTEERING is a company specializing in the sale of premium custom steering wheels and automotive accessories. We offer high-quality steering wheels with modern designs, including flat-bottom models, which can be installed using a plug-and-play system without complex modifications.</x:v>
      </x:c>
      <x:c r="N18" s="230" t="str">
        <x:v>https://app.brandsearch.co/brand-analysis/msteering.com</x:v>
      </x:c>
    </x:row>
    <x:row r="19" ht="21" customHeight="1">
      <x:c r="A19" s="230" t="str">
        <x:v>BE</x:v>
      </x:c>
      <x:c r="B19" s="230" t="str">
        <x:v>opoggi.com</x:v>
      </x:c>
      <x:c r="C19" s="230" t="str">
        <x:v>Home &amp; Garden</x:v>
      </x:c>
      <x:c r="D19" s="231" t="n">
        <x:v>38</x:v>
      </x:c>
      <x:c r="E19" s="231" t="n">
        <x:v>40</x:v>
      </x:c>
      <x:c r="F19" s="231" t="n">
        <x:v>0</x:v>
      </x:c>
      <x:c r="G19" s="232" t="n">
        <x:v>217.97</x:v>
      </x:c>
      <x:c r="H19" s="232" t="n">
        <x:f>G19/'Méthode'!$B$5</x:f>
        <x:v>190.6165282028859</x:v>
      </x:c>
      <x:c r="I19" s="232" t="n">
        <x:v>11.42</x:v>
      </x:c>
      <x:c r="J19" s="232" t="n">
        <x:v>428.24</x:v>
      </x:c>
      <x:c r="K19" s="231" t="n">
        <x:v>11</x:v>
      </x:c>
      <x:c r="L19" s="230" t="str">
        <x:v>heated cushions ; infrared heat pads ; warmtekussens ; heat cushions ; heat pads</x:v>
      </x:c>
      <x:c r="M19" s="230" t="str">
        <x:v>Premium infrared heating cushions, made in Belgium.</x:v>
      </x:c>
      <x:c r="N19" s="230" t="str">
        <x:v>https://app.brandsearch.co/brand-analysis/opoggi.com</x:v>
      </x:c>
    </x:row>
    <x:row r="20" ht="21" customHeight="1">
      <x:c r="A20" s="230" t="str">
        <x:v>BE</x:v>
      </x:c>
      <x:c r="B20" s="230" t="str">
        <x:v>klarvat.com</x:v>
      </x:c>
      <x:c r="C20" s="230" t="str">
        <x:v>Home &amp; Garden</x:v>
      </x:c>
      <x:c r="D20" s="231" t="n">
        <x:v>0</x:v>
      </x:c>
      <x:c r="E20" s="231" t="n">
        <x:v>40</x:v>
      </x:c>
      <x:c r="F20" s="231" t="n">
        <x:v>0</x:v>
      </x:c>
      <x:c r="G20" s="232" t="n">
        <x:v>208.66</x:v>
      </x:c>
      <x:c r="H20" s="232" t="n">
        <x:f>G20/'Méthode'!$B$5</x:f>
        <x:v>182.4748578924355</x:v>
      </x:c>
      <x:c r="I20" s="232" t="n">
        <x:v>57</x:v>
      </x:c>
      <x:c r="J20" s="232" t="n">
        <x:v>512</x:v>
      </x:c>
      <x:c r="K20" s="231" t="n">
        <x:v>3</x:v>
      </x:c>
      <x:c r="L20" s="230" t="str">
        <x:v>water filtration systems ; replacement filters ; skin and hair treatment products</x:v>
      </x:c>
      <x:c r="M20" s="230" t="str">
        <x:v>Klarvat</x:v>
      </x:c>
      <x:c r="N20" s="230" t="str">
        <x:v>https://app.brandsearch.co/brand-analysis/klarvat.com</x:v>
      </x:c>
    </x:row>
    <x:row r="21" ht="21" customHeight="1">
      <x:c r="A21" s="230" t="str">
        <x:v>BE</x:v>
      </x:c>
      <x:c r="B21" s="230" t="str">
        <x:v>www.e-woodproducts.be</x:v>
      </x:c>
      <x:c r="C21" s="230" t="str">
        <x:v>Home &amp; Garden</x:v>
      </x:c>
      <x:c r="D21" s="231" t="n">
        <x:v>0</x:v>
      </x:c>
      <x:c r="E21" s="231" t="n">
        <x:v>40</x:v>
      </x:c>
      <x:c r="F21" s="231" t="n">
        <x:v>0</x:v>
      </x:c>
      <x:c r="G21" s="232" t="n">
        <x:v>273.79</x:v>
      </x:c>
      <x:c r="H21" s="232" t="n">
        <x:f>G21/'Méthode'!$B$5</x:f>
        <x:v>239.43156974202014</x:v>
      </x:c>
      <x:c r="I21" s="232" t="n">
        <x:v>1.16</x:v>
      </x:c>
      <x:c r="J21" s="232" t="n">
        <x:v>8000.01</x:v>
      </x:c>
      <x:c r="K21" s="231" t="n">
        <x:v>425</x:v>
      </x:c>
      <x:c r="L21" s="230" t="str">
        <x:v>wooden furniture ; garden furniture ; garden tables ; garden benches ; garden swings ; outdoor furniture sets ; wooden accessories</x:v>
      </x:c>
      <x:c r="M21" s="230" t="str">
        <x:v>Koop nu unieke houten meubels en tuinartikelen bij E-woodproducts en geef je interieur een warme uitstraling! Ontdek onze robuuste tafels, stijlvolle tuinsets en meer, allemaal vervaardigd met de hoogste kwaliteit. Wacht niet langer, maak je huis gezelliger en bestel vandaag nog voor snelle levering! E-woodproducts</x:v>
      </x:c>
      <x:c r="N21" s="230" t="str">
        <x:v>https://app.brandsearch.co/brand-analysis/e-woodproducts.be</x:v>
      </x:c>
    </x:row>
    <x:row r="22" ht="21" customHeight="1">
      <x:c r="A22" s="230" t="str">
        <x:v>BE</x:v>
      </x:c>
      <x:c r="B22" s="230" t="str">
        <x:v>www.olivierstrelli.shoes</x:v>
      </x:c>
      <x:c r="C22" s="230" t="str">
        <x:v>Fashion</x:v>
      </x:c>
      <x:c r="D22" s="231" t="n">
        <x:v>0</x:v>
      </x:c>
      <x:c r="E22" s="231" t="n">
        <x:v>40</x:v>
      </x:c>
      <x:c r="F22" s="231" t="n">
        <x:v>0</x:v>
      </x:c>
      <x:c r="G22" s="232" t="n">
        <x:v>175.47</x:v>
      </x:c>
      <x:c r="H22" s="232" t="n">
        <x:f>G22/'Méthode'!$B$5</x:f>
        <x:v>153.4499344118933</x:v>
      </x:c>
      <x:c r="I22" s="232" t="n">
        <x:v>142.63</x:v>
      </x:c>
      <x:c r="J22" s="232" t="n">
        <x:v>216.85</x:v>
      </x:c>
      <x:c r="K22" s="231" t="n">
        <x:v>171</x:v>
      </x:c>
      <x:c r="L22" s="230" t="str">
        <x:v>men's sneakers ; women's boots ; heels ; casual shoes ; luxury footwear</x:v>
      </x:c>
      <x:c r="M22" s="230" t="str">
        <x:v>Official Webshop Olivier Strelli Shoes - Founded in Brussels in 1979, Olivier Strelli is one of Belgium's leading luxury brands. Discover the brand new Olivier Strelli shoe collection.</x:v>
      </x:c>
      <x:c r="N22" s="230" t="str">
        <x:v>https://app.brandsearch.co/brand-analysis/olivierstrelli.shoes</x:v>
      </x:c>
    </x:row>
    <x:row r="23" ht="21" customHeight="1">
      <x:c r="A23" s="230" t="str">
        <x:v>DE</x:v>
      </x:c>
      <x:c r="B23" s="230" t="str">
        <x:v>www.iscooterglobal.eu</x:v>
      </x:c>
      <x:c r="C23" s="230" t="str">
        <x:v>Automotive</x:v>
      </x:c>
      <x:c r="D23" s="231" t="n">
        <x:v>192120</x:v>
      </x:c>
      <x:c r="E23" s="231" t="n">
        <x:v>40</x:v>
      </x:c>
      <x:c r="F23" s="231" t="n">
        <x:v>0</x:v>
      </x:c>
      <x:c r="G23" s="232" t="n">
        <x:v>259.26</x:v>
      </x:c>
      <x:c r="H23" s="232" t="n">
        <x:f>G23/'Méthode'!$B$5</x:f>
        <x:v>226.72496720594665</x:v>
      </x:c>
      <x:c r="I23" s="232" t="n">
        <x:v>1.12</x:v>
      </x:c>
      <x:c r="J23" s="232" t="n">
        <x:v>2210.84</x:v>
      </x:c>
      <x:c r="K23" s="231" t="n">
        <x:v>245</x:v>
      </x:c>
      <x:c r="L23" s="230" t="str">
        <x:v>electric scooters ; electric scooter parts ; controller ; dashboard ; throttle ; headlight ; lock assembly ; key switch</x:v>
      </x:c>
      <x:c r="M23" s="230" t="str">
        <x:v>Buy iScooter electric scooter, The best e-scooter EU shop, Our award-winning e-scooter, up to 12 months after sale, and a 30-day return and refund policy.</x:v>
      </x:c>
      <x:c r="N23" s="230" t="str">
        <x:v>https://app.brandsearch.co/brand-analysis/iscooterglobal.eu</x:v>
      </x:c>
    </x:row>
    <x:row r="24" ht="21" customHeight="1">
      <x:c r="A24" s="230" t="str">
        <x:v>DE</x:v>
      </x:c>
      <x:c r="B24" s="230" t="str">
        <x:v>www.lasiesta.com</x:v>
      </x:c>
      <x:c r="C24" s="230" t="str">
        <x:v>Home &amp; Garden</x:v>
      </x:c>
      <x:c r="D24" s="231" t="n">
        <x:v>139613</x:v>
      </x:c>
      <x:c r="E24" s="231" t="n">
        <x:v>40</x:v>
      </x:c>
      <x:c r="F24" s="231" t="n">
        <x:v>0</x:v>
      </x:c>
      <x:c r="G24" s="232" t="n">
        <x:v>274.62</x:v>
      </x:c>
      <x:c r="H24" s="232" t="n">
        <x:f>G24/'Méthode'!$B$5</x:f>
        <x:v>240.15741145605597</x:v>
      </x:c>
      <x:c r="I24" s="232" t="n">
        <x:v>0.06</x:v>
      </x:c>
      <x:c r="J24" s="232" t="n">
        <x:v>878.06</x:v>
      </x:c>
      <x:c r="K24" s="231" t="n">
        <x:v>400</x:v>
      </x:c>
      <x:c r="L24" s="230" t="str">
        <x:v>hammocks ; hanging chairs ; hanging accessories ; mounting kits ; outdoor furniture</x:v>
      </x:c>
      <x:c r="M24" s="230" t="str">
        <x:v>Entdecke mit LA SIESTA die Hängematten-Seite des Lebens! Wir stehen seit 1991 für Qualität, Komfort und Nachhaltigkeit. 100 Tage Rückgaberecht!</x:v>
      </x:c>
      <x:c r="N24" s="230" t="str">
        <x:v>https://app.brandsearch.co/brand-analysis/lasiesta.com</x:v>
      </x:c>
    </x:row>
    <x:row r="25" ht="21" customHeight="1">
      <x:c r="A25" s="230" t="str">
        <x:v>DE</x:v>
      </x:c>
      <x:c r="B25" s="230" t="str">
        <x:v>www.iscooterglobal.de</x:v>
      </x:c>
      <x:c r="C25" s="230" t="str">
        <x:v>Automotive</x:v>
      </x:c>
      <x:c r="D25" s="231" t="n">
        <x:v>133806</x:v>
      </x:c>
      <x:c r="E25" s="231" t="n">
        <x:v>40</x:v>
      </x:c>
      <x:c r="F25" s="231" t="n">
        <x:v>0</x:v>
      </x:c>
      <x:c r="G25" s="232" t="n">
        <x:v>179.45</x:v>
      </x:c>
      <x:c r="H25" s="232" t="n">
        <x:f>G25/'Méthode'!$B$5</x:f>
        <x:v>156.9304766069086</x:v>
      </x:c>
      <x:c r="I25" s="232" t="n">
        <x:v>1.12</x:v>
      </x:c>
      <x:c r="J25" s="232" t="n">
        <x:v>1904.81</x:v>
      </x:c>
      <x:c r="K25" s="231" t="n">
        <x:v>285</x:v>
      </x:c>
      <x:c r="L25" s="230" t="str">
        <x:v>electric scooters ; hoverboards ; offroad e-scooters ; e-scooter accessories ; replacement parts</x:v>
      </x:c>
      <x:c r="M25" s="230" t="str">
        <x:v>iscooter e scooter hochmodernes Design kombiniert mit erstklassiger Technologie, e-scooter bietet dir ein unvergleichliches Fahrerlebnis.</x:v>
      </x:c>
      <x:c r="N25" s="230" t="str">
        <x:v>https://app.brandsearch.co/brand-analysis/iscooterglobal.de</x:v>
      </x:c>
    </x:row>
    <x:row r="26" ht="21" customHeight="1">
      <x:c r="A26" s="230" t="str">
        <x:v>DE</x:v>
      </x:c>
      <x:c r="B26" s="230" t="str">
        <x:v>arider.com</x:v>
      </x:c>
      <x:c r="C26" s="230" t="str">
        <x:v>Automotive</x:v>
      </x:c>
      <x:c r="D26" s="231" t="n">
        <x:v>119004</x:v>
      </x:c>
      <x:c r="E26" s="231" t="n">
        <x:v>40</x:v>
      </x:c>
      <x:c r="F26" s="231" t="n">
        <x:v>0</x:v>
      </x:c>
      <x:c r="G26" s="232" t="n">
        <x:v>158.84</x:v>
      </x:c>
      <x:c r="H26" s="232" t="n">
        <x:f>G26/'Méthode'!$B$5</x:f>
        <x:v>138.90686488850022</x:v>
      </x:c>
      <x:c r="I26" s="232" t="n">
        <x:v>6</x:v>
      </x:c>
      <x:c r="J26" s="232" t="n">
        <x:v>410</x:v>
      </x:c>
      <x:c r="K26" s="231" t="n">
        <x:v>2000</x:v>
      </x:c>
      <x:c r="L26" s="230" t="str">
        <x:v>motorcycle graphic kits ; sticker kits ; decals ; rim stickers ; laminate finishes</x:v>
      </x:c>
      <x:c r="M26" s="230" t="str">
        <x:v>Stand out on the track with cool custom dirt bike graphics. MX, motocross &amp; motorcycle decals designed to impress. Your ride, your style – Arider.com.</x:v>
      </x:c>
      <x:c r="N26" s="230" t="str">
        <x:v>https://app.brandsearch.co/brand-analysis/arider.com</x:v>
      </x:c>
    </x:row>
    <x:row r="27" ht="21" customHeight="1">
      <x:c r="A27" s="230" t="str">
        <x:v>DE</x:v>
      </x:c>
      <x:c r="B27" s="230" t="str">
        <x:v>www.taschenkaufhaus.de</x:v>
      </x:c>
      <x:c r="C27" s="230" t="str">
        <x:v>Fashion</x:v>
      </x:c>
      <x:c r="D27" s="231" t="n">
        <x:v>105914</x:v>
      </x:c>
      <x:c r="E27" s="231" t="n">
        <x:v>40</x:v>
      </x:c>
      <x:c r="F27" s="231" t="n">
        <x:v>0</x:v>
      </x:c>
      <x:c r="G27" s="232" t="n">
        <x:v>149.54</x:v>
      </x:c>
      <x:c r="H27" s="232" t="n">
        <x:f>G27/'Méthode'!$B$5</x:f>
        <x:v>130.77393965894186</x:v>
      </x:c>
      <x:c r="I27" s="232" t="n">
        <x:v>4.51</x:v>
      </x:c>
      <x:c r="J27" s="232" t="n">
        <x:v>1884.24</x:v>
      </x:c>
      <x:c r="K27" s="231" t="n">
        <x:v>2000</x:v>
      </x:c>
      <x:c r="L27" s="230" t="str">
        <x:v>bags ; wallets ; rucksacks ; messenger bags ; luggage ; fahrradtaschen ; accessories</x:v>
      </x:c>
      <x:c r="M27" s="230" t="str">
        <x:v>Taschen, Rucksäcke, Geldbörsen &amp; Koffer online shoppen | 10.000 Produkte &amp; über 80 Top Marken | 10% Rabatt bei Newsletteranmeldung</x:v>
      </x:c>
      <x:c r="N27" s="230" t="str">
        <x:v>https://app.brandsearch.co/brand-analysis/taschenkaufhaus.de</x:v>
      </x:c>
    </x:row>
    <x:row r="28" ht="21" customHeight="1">
      <x:c r="A28" s="230" t="str">
        <x:v>DE</x:v>
      </x:c>
      <x:c r="B28" s="230" t="str">
        <x:v>silberkraft.com</x:v>
      </x:c>
      <x:c r="C28" s="230" t="str">
        <x:v>Home &amp; Garden</x:v>
      </x:c>
      <x:c r="D28" s="231" t="n">
        <x:v>99053</x:v>
      </x:c>
      <x:c r="E28" s="231" t="n">
        <x:v>40</x:v>
      </x:c>
      <x:c r="F28" s="231" t="n">
        <x:v>0</x:v>
      </x:c>
      <x:c r="G28" s="232" t="n">
        <x:v>186.52</x:v>
      </x:c>
      <x:c r="H28" s="232" t="n">
        <x:f>G28/'Méthode'!$B$5</x:f>
        <x:v>163.1132487975514</x:v>
      </x:c>
      <x:c r="I28" s="232" t="n">
        <x:v>79.94</x:v>
      </x:c>
      <x:c r="J28" s="232" t="n">
        <x:v>319.76</x:v>
      </x:c>
      <x:c r="K28" s="231" t="n">
        <x:v>859</x:v>
      </x:c>
      <x:c r="L28" s="230" t="str">
        <x:v>pest sprays ; insect repellents ; mosquito sprays ; bed bug sprays ; moth repellents ; ant sprays ; roach sprays</x:v>
      </x:c>
      <x:c r="M28" s="230" t="str">
        <x:v>Silberkraft hilft, Schädlinge loszuwerden mit nachhaltigen Wirkstoffen, die von der Natur inspiriert sind - ganz ohne Permethrin, DEET oder ähnliche Stoffe.</x:v>
      </x:c>
      <x:c r="N28" s="230" t="str">
        <x:v>https://app.brandsearch.co/brand-analysis/silberkraft.com</x:v>
      </x:c>
    </x:row>
    <x:row r="29" ht="21" customHeight="1">
      <x:c r="A29" s="230" t="str">
        <x:v>DE</x:v>
      </x:c>
      <x:c r="B29" s="230" t="str">
        <x:v>www.cerascreen.de</x:v>
      </x:c>
      <x:c r="C29" s="230" t="str">
        <x:v>Health &amp; Supplements</x:v>
      </x:c>
      <x:c r="D29" s="231" t="n">
        <x:v>95998</x:v>
      </x:c>
      <x:c r="E29" s="231" t="n">
        <x:v>40</x:v>
      </x:c>
      <x:c r="F29" s="231" t="n">
        <x:v>0</x:v>
      </x:c>
      <x:c r="G29" s="232" t="n">
        <x:v>105.88</x:v>
      </x:c>
      <x:c r="H29" s="232" t="n">
        <x:f>G29/'Méthode'!$B$5</x:f>
        <x:v>92.59291648447748</x:v>
      </x:c>
      <x:c r="I29" s="232" t="n">
        <x:v>2.85</x:v>
      </x:c>
      <x:c r="J29" s="232" t="n">
        <x:v>1711.76</x:v>
      </x:c>
      <x:c r="K29" s="231" t="n">
        <x:v>238</x:v>
      </x:c>
      <x:c r="L29" s="230" t="str">
        <x:v>home health tests ; vitamin and nutrient tests ; allergy and intolerance tests ; hormone tests ; mineral and mineral deficiency tests ; medical test kits</x:v>
      </x:c>
      <x:c r="M29" s="230" t="str">
        <x:v>Selbsttests für Zuhause (Mangelerscheinung, Allergie &amp; Intoleranz erkennen) ✓ ausgewählte Nahrungsergänzungsmittel ✓ Gesundheits-Coachings ✓</x:v>
      </x:c>
      <x:c r="N29" s="230" t="str">
        <x:v>https://app.brandsearch.co/brand-analysis/cerascreen.de</x:v>
      </x:c>
    </x:row>
    <x:row r="30" ht="21" customHeight="1">
      <x:c r="A30" s="230" t="str">
        <x:v>DE</x:v>
      </x:c>
      <x:c r="B30" s="230" t="str">
        <x:v>snapbuy.de</x:v>
      </x:c>
      <x:c r="C30" s="230" t="str">
        <x:v>Electronics &amp; Tech</x:v>
      </x:c>
      <x:c r="D30" s="231" t="n">
        <x:v>85584</x:v>
      </x:c>
      <x:c r="E30" s="231" t="n">
        <x:v>40</x:v>
      </x:c>
      <x:c r="F30" s="231" t="n">
        <x:v>0</x:v>
      </x:c>
      <x:c r="G30" s="232" t="n">
        <x:v>141.61</x:v>
      </x:c>
      <x:c r="H30" s="232" t="n">
        <x:f>G30/'Méthode'!$B$5</x:f>
        <x:v>123.83909051158724</x:v>
      </x:c>
      <x:c r="I30" s="232" t="n">
        <x:v>11.35</x:v>
      </x:c>
      <x:c r="J30" s="232" t="n">
        <x:v>570.85</x:v>
      </x:c>
      <x:c r="K30" s="231" t="n">
        <x:v>144</x:v>
      </x:c>
      <x:c r="L30" s="230" t="str">
        <x:v>electric shavers ; bluetooth speakers ; pulse oximeters ; oral irrigators ; blood pressure monitors ; cordless vacuum cleaners ; trail cameras ; dashcams ; massage guns ; knife sharpeners</x:v>
      </x:c>
      <x:c r="M30" s="230" t="str"/>
      <x:c r="N30" s="230" t="str">
        <x:v>https://app.brandsearch.co/brand-analysis/snapbuy.de</x:v>
      </x:c>
    </x:row>
    <x:row r="31" ht="21" customHeight="1">
      <x:c r="A31" s="230" t="str">
        <x:v>DE</x:v>
      </x:c>
      <x:c r="B31" s="230" t="str">
        <x:v>evercross.eu</x:v>
      </x:c>
      <x:c r="C31" s="230" t="str">
        <x:v>Automotive</x:v>
      </x:c>
      <x:c r="D31" s="231" t="n">
        <x:v>77247</x:v>
      </x:c>
      <x:c r="E31" s="231" t="n">
        <x:v>40</x:v>
      </x:c>
      <x:c r="F31" s="231" t="n">
        <x:v>0</x:v>
      </x:c>
      <x:c r="G31" s="232" t="n">
        <x:v>229.9</x:v>
      </x:c>
      <x:c r="H31" s="232" t="n">
        <x:f>G31/'Méthode'!$B$5</x:f>
        <x:v>201.0494097070398</x:v>
      </x:c>
      <x:c r="I31" s="232" t="n">
        <x:v>1.12</x:v>
      </x:c>
      <x:c r="J31" s="232" t="n">
        <x:v>2341</x:v>
      </x:c>
      <x:c r="K31" s="231" t="n">
        <x:v>98</x:v>
      </x:c>
      <x:c r="L31" s="230" t="str">
        <x:v>electric scooters ; electric motorcycles ; hoverboards ; electric bicycles ; electric mopeds</x:v>
      </x:c>
      <x:c r="M31" s="230" t="str">
        <x:v>Die Marke EVERCROSS beschäftigt sich seit mehr als 20 Jahren mit Elektrorollern und Elektrofahrrädern. Sie verfügt über eigene Lager in vielen Ländern. Elektroroller und Elektrofahrräder werden versandkostenfrei in die Nähe geliefert.</x:v>
      </x:c>
      <x:c r="N31" s="230" t="str">
        <x:v>https://app.brandsearch.co/brand-analysis/evercross.eu</x:v>
      </x:c>
    </x:row>
    <x:row r="32" ht="21" customHeight="1">
      <x:c r="A32" s="230" t="str">
        <x:v>DE</x:v>
      </x:c>
      <x:c r="B32" s="230" t="str">
        <x:v>www.comme-des-garcons.de</x:v>
      </x:c>
      <x:c r="C32" s="230" t="str">
        <x:v>Fashion</x:v>
      </x:c>
      <x:c r="D32" s="231" t="n">
        <x:v>64570</x:v>
      </x:c>
      <x:c r="E32" s="231" t="n">
        <x:v>40</x:v>
      </x:c>
      <x:c r="F32" s="231" t="n">
        <x:v>0</x:v>
      </x:c>
      <x:c r="G32" s="232" t="n">
        <x:v>324.64</x:v>
      </x:c>
      <x:c r="H32" s="232" t="n">
        <x:f>G32/'Méthode'!$B$5</x:f>
        <x:v>283.9003060778312</x:v>
      </x:c>
      <x:c r="I32" s="232" t="n">
        <x:v>28.55</x:v>
      </x:c>
      <x:c r="J32" s="232" t="n">
        <x:v>3642.89</x:v>
      </x:c>
      <x:c r="K32" s="231" t="n">
        <x:v>455</x:v>
      </x:c>
      <x:c r="L32" s="230" t="str">
        <x:v>designer clothing ; designer sneakers ; fashion accessories ; fragrance ; limited edition collaborations</x:v>
      </x:c>
      <x:c r="M32" s="230" t="str">
        <x:v>The OFFICIAL ONLINE SHOP of the COMME des GARÇONS Flagship Store in Berlin, Germany</x:v>
      </x:c>
      <x:c r="N32" s="230" t="str">
        <x:v>https://app.brandsearch.co/brand-analysis/comme-des-garcons.de</x:v>
      </x:c>
    </x:row>
    <x:row r="33" ht="21" customHeight="1">
      <x:c r="A33" s="230" t="str">
        <x:v>DE</x:v>
      </x:c>
      <x:c r="B33" s="230" t="str">
        <x:v>www.oeko-planet.com</x:v>
      </x:c>
      <x:c r="C33" s="230" t="str">
        <x:v>Home Decor</x:v>
      </x:c>
      <x:c r="D33" s="231" t="n">
        <x:v>33969</x:v>
      </x:c>
      <x:c r="E33" s="231" t="n">
        <x:v>40</x:v>
      </x:c>
      <x:c r="F33" s="231" t="n">
        <x:v>0</x:v>
      </x:c>
      <x:c r="G33" s="232" t="n">
        <x:v>234.07</x:v>
      </x:c>
      <x:c r="H33" s="232" t="n">
        <x:f>G33/'Méthode'!$B$5</x:f>
        <x:v>204.69610843900307</x:v>
      </x:c>
      <x:c r="I33" s="232" t="n">
        <x:v>1.82</x:v>
      </x:c>
      <x:c r="J33" s="232" t="n">
        <x:v>6101.67</x:v>
      </x:c>
      <x:c r="K33" s="231" t="n">
        <x:v>1139</x:v>
      </x:c>
      <x:c r="L33" s="230" t="str">
        <x:v>anti-mite encasings ; allergy protection bedding ; bio cotton pillowcases ; allergy relief mattress covers ; natural comforters ; baby &amp; children's bedding ; hypoallergenic bedding accessories</x:v>
      </x:c>
      <x:c r="M33" s="230" t="str">
        <x:v>Natürliche Produkte ❤ achten Mensch &amp; Umwelt | ➤ Naturmatratzen ➤ Bio Bettwäsche &amp; Bettwaren | ➤ Kinder &amp; Baby Abteilung | ➤ Viele Allergiker Produkte.</x:v>
      </x:c>
      <x:c r="N33" s="230" t="str">
        <x:v>https://app.brandsearch.co/brand-analysis/oeko-planet.com</x:v>
      </x:c>
    </x:row>
    <x:row r="34" ht="21" customHeight="1">
      <x:c r="A34" s="230" t="str">
        <x:v>DE</x:v>
      </x:c>
      <x:c r="B34" s="230" t="str">
        <x:v>litheli.eu</x:v>
      </x:c>
      <x:c r="C34" s="230" t="str">
        <x:v>Home &amp; Garden</x:v>
      </x:c>
      <x:c r="D34" s="231" t="n">
        <x:v>33863</x:v>
      </x:c>
      <x:c r="E34" s="231" t="n">
        <x:v>40</x:v>
      </x:c>
      <x:c r="F34" s="231" t="n">
        <x:v>0</x:v>
      </x:c>
      <x:c r="G34" s="232" t="n">
        <x:v>116.97</x:v>
      </x:c>
      <x:c r="H34" s="232" t="n">
        <x:f>G34/'Méthode'!$B$5</x:f>
        <x:v>102.29121119370355</x:v>
      </x:c>
      <x:c r="I34" s="232" t="n">
        <x:v>1.12</x:v>
      </x:c>
      <x:c r="J34" s="232" t="n">
        <x:v>718.29</x:v>
      </x:c>
      <x:c r="K34" s="231" t="n">
        <x:v>107</x:v>
      </x:c>
      <x:c r="L34" s="230" t="str">
        <x:v>battery-powered garden tools ; lawn mowers ; hedge trimmers ; leaf blowers ; power banks ; battery chargers ; auto coolers</x:v>
      </x:c>
      <x:c r="M34" s="230" t="str">
        <x:v>Entdecken Sie Litheli für kabellose, akkubetriebene Garten- und Outdoor-Werkzeuge. Kaufen Sie Rasenmäher, Freischneider, Laubbläser, Elektrokarren und mehr.</x:v>
      </x:c>
      <x:c r="N34" s="230" t="str">
        <x:v>https://app.brandsearch.co/brand-analysis/litheli.eu</x:v>
      </x:c>
    </x:row>
    <x:row r="35" ht="21" customHeight="1">
      <x:c r="A35" s="230" t="str">
        <x:v>DE</x:v>
      </x:c>
      <x:c r="B35" s="230" t="str">
        <x:v>www.schleiftitan.de</x:v>
      </x:c>
      <x:c r="C35" s="230" t="str">
        <x:v>Other</x:v>
      </x:c>
      <x:c r="D35" s="231" t="n">
        <x:v>31182</x:v>
      </x:c>
      <x:c r="E35" s="231" t="n">
        <x:v>40</x:v>
      </x:c>
      <x:c r="F35" s="231" t="n">
        <x:v>0</x:v>
      </x:c>
      <x:c r="G35" s="232" t="n">
        <x:v>119.13</x:v>
      </x:c>
      <x:c r="H35" s="232" t="n">
        <x:f>G35/'Méthode'!$B$5</x:f>
        <x:v>104.18014866637516</x:v>
      </x:c>
      <x:c r="I35" s="232" t="n">
        <x:v>1.96</x:v>
      </x:c>
      <x:c r="J35" s="232" t="n">
        <x:v>4700.16</x:v>
      </x:c>
      <x:c r="K35" s="231" t="n">
        <x:v>2000</x:v>
      </x:c>
      <x:c r="L35" s="230" t="str">
        <x:v>abrasive discs ; sandpaper ; grinding wheels ; polishing pads ; sanding belts ; abrasive strips ; tool accessories</x:v>
      </x:c>
      <x:c r="M35" s="230" t="str">
        <x:v>Schleifmittel, Profi-Werkzeug und Werkzeugbedarf günstig kaufen ✓ Top Preise &amp; gratis Versand ab 99€! Riesige Auswahl ✓ Top Marken ✓ 1A Beratung!</x:v>
      </x:c>
      <x:c r="N35" s="230" t="str">
        <x:v>https://app.brandsearch.co/brand-analysis/schleiftitan.de</x:v>
      </x:c>
    </x:row>
    <x:row r="36" ht="21" customHeight="1">
      <x:c r="A36" s="230" t="str">
        <x:v>DE</x:v>
      </x:c>
      <x:c r="B36" s="230" t="str">
        <x:v>www.sygns.com</x:v>
      </x:c>
      <x:c r="C36" s="230" t="str">
        <x:v>Home Decor</x:v>
      </x:c>
      <x:c r="D36" s="231" t="n">
        <x:v>26055</x:v>
      </x:c>
      <x:c r="E36" s="231" t="n">
        <x:v>40</x:v>
      </x:c>
      <x:c r="F36" s="231" t="n">
        <x:v>0</x:v>
      </x:c>
      <x:c r="G36" s="232" t="n">
        <x:v>123.55</x:v>
      </x:c>
      <x:c r="H36" s="232" t="n">
        <x:f>G36/'Méthode'!$B$5</x:f>
        <x:v>108.04547442063839</x:v>
      </x:c>
      <x:c r="I36" s="232" t="n">
        <x:v>0.91</x:v>
      </x:c>
      <x:c r="J36" s="232" t="n">
        <x:v>810.89</x:v>
      </x:c>
      <x:c r="K36" s="231" t="n">
        <x:v>2000</x:v>
      </x:c>
      <x:c r="L36" s="230" t="str">
        <x:v>neon signs ; led lightboxes ; illuminated advertising signs ; custom neon lettering ; lighted wall decor ; neon accessories ; light fixtures</x:v>
      </x:c>
      <x:c r="M36" s="230" t="str">
        <x:v>Create custom illuminated signage with Sygns! Worldwide shipping and express delivery! For neon, LED neon, letters, lightboxes, and moss walls.</x:v>
      </x:c>
      <x:c r="N36" s="230" t="str">
        <x:v>https://app.brandsearch.co/brand-analysis/sygns.com</x:v>
      </x:c>
    </x:row>
    <x:row r="37" ht="21" customHeight="1">
      <x:c r="A37" s="230" t="str">
        <x:v>DE</x:v>
      </x:c>
      <x:c r="B37" s="230" t="str">
        <x:v>abluft24.de</x:v>
      </x:c>
      <x:c r="C37" s="230" t="str">
        <x:v>Home &amp; Garden</x:v>
      </x:c>
      <x:c r="D37" s="231" t="n">
        <x:v>21475</x:v>
      </x:c>
      <x:c r="E37" s="231" t="n">
        <x:v>40</x:v>
      </x:c>
      <x:c r="F37" s="231" t="n">
        <x:v>0</x:v>
      </x:c>
      <x:c r="G37" s="232" t="n">
        <x:v>117.56</x:v>
      </x:c>
      <x:c r="H37" s="232" t="n">
        <x:f>G37/'Méthode'!$B$5</x:f>
        <x:v>102.80717096633144</x:v>
      </x:c>
      <x:c r="I37" s="232" t="n">
        <x:v>0.11</x:v>
      </x:c>
      <x:c r="J37" s="232" t="n">
        <x:v>4078.64</x:v>
      </x:c>
      <x:c r="K37" s="231" t="n">
        <x:v>543</x:v>
      </x:c>
      <x:c r="L37" s="230" t="str">
        <x:v>ventilation components ; air duct accessories ; airflow regulators ; ventilation grilles ; duct tape ; temperature controllers ; air distribution sets ; metal ventilation grids</x:v>
      </x:c>
      <x:c r="M37" s="230" t="str">
        <x:v>Willkommen bei abluft24.de, dem familiengeführten Unternehmen für Lüftungskomponenten, das für seine Qualität und Kundenzufriedenheit bekannt ist. Seit 2012 sind wir im Onlinehandel mit Lüftungskomponenten tätig und haben uns seitdem zu einem der führenden Anbieter in diesem Bereich entwickelt.</x:v>
      </x:c>
      <x:c r="N37" s="230" t="str">
        <x:v>https://app.brandsearch.co/brand-analysis/abluft24.de</x:v>
      </x:c>
    </x:row>
    <x:row r="38" ht="21" customHeight="1">
      <x:c r="A38" s="230" t="str">
        <x:v>DE</x:v>
      </x:c>
      <x:c r="B38" s="230" t="str">
        <x:v>lizenzguenstiger.de</x:v>
      </x:c>
      <x:c r="C38" s="230" t="str">
        <x:v>Other</x:v>
      </x:c>
      <x:c r="D38" s="231" t="n">
        <x:v>18890</x:v>
      </x:c>
      <x:c r="E38" s="231" t="n">
        <x:v>40</x:v>
      </x:c>
      <x:c r="F38" s="231" t="n">
        <x:v>0</x:v>
      </x:c>
      <x:c r="G38" s="232" t="n">
        <x:v>298.84</x:v>
      </x:c>
      <x:c r="H38" s="232" t="n">
        <x:f>G38/'Méthode'!$B$5</x:f>
        <x:v>261.3379973764757</x:v>
      </x:c>
      <x:c r="I38" s="232" t="n">
        <x:v>6</x:v>
      </x:c>
      <x:c r="J38" s="232" t="n">
        <x:v>9784</x:v>
      </x:c>
      <x:c r="K38" s="231" t="n">
        <x:v>223</x:v>
      </x:c>
      <x:c r="L38" s="230" t="str">
        <x:v>software licenses ; operating systems ; productivity software ; office suites ; antivirus software</x:v>
      </x:c>
      <x:c r="M38" s="230" t="str">
        <x:v>As an online supplier of software and operating systems, we offer you original software at a bargain price in our software download shop │ LICENSEE-Favourable.de</x:v>
      </x:c>
      <x:c r="N38" s="230" t="str">
        <x:v>https://app.brandsearch.co/brand-analysis/lizenzguenstiger.de</x:v>
      </x:c>
    </x:row>
    <x:row r="39" ht="21" customHeight="1">
      <x:c r="A39" s="230" t="str">
        <x:v>DE</x:v>
      </x:c>
      <x:c r="B39" s="230" t="str">
        <x:v>software-dealz.de</x:v>
      </x:c>
      <x:c r="C39" s="230" t="str">
        <x:v>Other</x:v>
      </x:c>
      <x:c r="D39" s="231" t="n">
        <x:v>18513</x:v>
      </x:c>
      <x:c r="E39" s="231" t="n">
        <x:v>40</x:v>
      </x:c>
      <x:c r="F39" s="231" t="n">
        <x:v>0</x:v>
      </x:c>
      <x:c r="G39" s="232" t="n">
        <x:v>323.41</x:v>
      </x:c>
      <x:c r="H39" s="232" t="n">
        <x:f>G39/'Méthode'!$B$5</x:f>
        <x:v>282.82466112811545</x:v>
      </x:c>
      <x:c r="I39" s="232" t="n">
        <x:v>6.84</x:v>
      </x:c>
      <x:c r="J39" s="232" t="n">
        <x:v>10258.44</x:v>
      </x:c>
      <x:c r="K39" s="231" t="n">
        <x:v>220</x:v>
      </x:c>
      <x:c r="L39" s="230" t="str">
        <x:v>software licenses ; operating systems ; productivity suites ; office applications ; antivirus software</x:v>
      </x:c>
      <x:c r="M39" s="230" t="str">
        <x:v>Buy software at Software-Dealz: Great deals on Microsoft Windows, Office, Windows Server, antivirus software, and more. Save now!</x:v>
      </x:c>
      <x:c r="N39" s="230" t="str">
        <x:v>https://app.brandsearch.co/brand-analysis/software-dealz.de</x:v>
      </x:c>
    </x:row>
    <x:row r="40" ht="21" customHeight="1">
      <x:c r="A40" s="230" t="str">
        <x:v>DE</x:v>
      </x:c>
      <x:c r="B40" s="230" t="str">
        <x:v>xn--duschrckwand-platten-uec.de</x:v>
      </x:c>
      <x:c r="C40" s="230" t="str">
        <x:v>Home Decor</x:v>
      </x:c>
      <x:c r="D40" s="231" t="n">
        <x:v>18006</x:v>
      </x:c>
      <x:c r="E40" s="231" t="n">
        <x:v>40</x:v>
      </x:c>
      <x:c r="F40" s="231" t="n">
        <x:v>0</x:v>
      </x:c>
      <x:c r="G40" s="232" t="n">
        <x:v>424.07</x:v>
      </x:c>
      <x:c r="H40" s="232" t="n">
        <x:f>G40/'Méthode'!$B$5</x:f>
        <x:v>370.8526453869698</x:v>
      </x:c>
      <x:c r="I40" s="232" t="n">
        <x:v>5.7</x:v>
      </x:c>
      <x:c r="J40" s="232" t="n">
        <x:v>959.25</x:v>
      </x:c>
      <x:c r="K40" s="231" t="n">
        <x:v>546</x:v>
      </x:c>
      <x:c r="L40" s="230" t="str">
        <x:v>shower wall panels ; kitchen wall panels ; wall cladding ; corner profiles ; adhesives ; cutting services ; decorative wall panels</x:v>
      </x:c>
      <x:c r="M40" s="230" t="str">
        <x:v>Entdecke maßgeschneiderte Duschrückwände und Küchenrückwände vom Hersteller. Kratz- und kalkfest ✓ Bäder &amp; Küchen ✓ Schneller Versand ✓ Jetzt kaufen!</x:v>
      </x:c>
      <x:c r="N40" s="230" t="str">
        <x:v>https://app.brandsearch.co/brand-analysis/xn--duschrckwand-platten-uec.de</x:v>
      </x:c>
    </x:row>
    <x:row r="41" ht="21" customHeight="1">
      <x:c r="A41" s="230" t="str">
        <x:v>DE</x:v>
      </x:c>
      <x:c r="B41" s="230" t="str">
        <x:v>papenbreer.com</x:v>
      </x:c>
      <x:c r="C41" s="230" t="str">
        <x:v>Fashion</x:v>
      </x:c>
      <x:c r="D41" s="231" t="n">
        <x:v>17847</x:v>
      </x:c>
      <x:c r="E41" s="231" t="n">
        <x:v>40</x:v>
      </x:c>
      <x:c r="F41" s="231" t="n">
        <x:v>0</x:v>
      </x:c>
      <x:c r="G41" s="232" t="n">
        <x:v>360.94</x:v>
      </x:c>
      <x:c r="H41" s="232" t="n">
        <x:f>G41/'Méthode'!$B$5</x:f>
        <x:v>315.6449497157849</x:v>
      </x:c>
      <x:c r="I41" s="232" t="n">
        <x:v>20.5</x:v>
      </x:c>
      <x:c r="J41" s="232" t="n">
        <x:v>5424.32</x:v>
      </x:c>
      <x:c r="K41" s="231" t="n">
        <x:v>2000</x:v>
      </x:c>
      <x:c r="L41" s="230" t="str">
        <x:v>clothing ; shoes ; accessories ; jackets ; pants ; shirts ; sweaters</x:v>
      </x:c>
      <x:c r="M41" s="230" t="str">
        <x:v>Entdecke exklusive Designer-Marken bei Papenbreer: Stilvolle Kleidung, Schuhe und Accessoires für Damen und Herren</x:v>
      </x:c>
      <x:c r="N41" s="230" t="str">
        <x:v>https://app.brandsearch.co/brand-analysis/papenbreer.com</x:v>
      </x:c>
    </x:row>
    <x:row r="42" ht="21" customHeight="1">
      <x:c r="A42" s="230" t="str">
        <x:v>DE</x:v>
      </x:c>
      <x:c r="B42" s="230" t="str">
        <x:v>bioteiga.de</x:v>
      </x:c>
      <x:c r="C42" s="230" t="str">
        <x:v>Home &amp; Garden</x:v>
      </x:c>
      <x:c r="D42" s="231" t="n">
        <x:v>17702</x:v>
      </x:c>
      <x:c r="E42" s="231" t="n">
        <x:v>40</x:v>
      </x:c>
      <x:c r="F42" s="231" t="n">
        <x:v>0</x:v>
      </x:c>
      <x:c r="G42" s="232" t="n">
        <x:v>106.9</x:v>
      </x:c>
      <x:c r="H42" s="232" t="n">
        <x:f>G42/'Méthode'!$B$5</x:f>
        <x:v>93.48491473546132</x:v>
      </x:c>
      <x:c r="I42" s="232" t="n">
        <x:v>4.23</x:v>
      </x:c>
      <x:c r="J42" s="232" t="n">
        <x:v>555.57</x:v>
      </x:c>
      <x:c r="K42" s="231" t="n">
        <x:v>42</x:v>
      </x:c>
      <x:c r="L42" s="230" t="str">
        <x:v>pond water treatments ; algae control products ; biological pond additives ; pond water test kits ; pond sludge removers ; pond water clarifiers ; microorganism-based pond products</x:v>
      </x:c>
      <x:c r="M42" s="230" t="str">
        <x:v>BioTeiGa, Ihr Experte im Bereich Teichpflege! ✓ Erleben Sie die Kraft der Natur! ► Hier klicken für klares Teichwasser! ✓</x:v>
      </x:c>
      <x:c r="N42" s="230" t="str">
        <x:v>https://app.brandsearch.co/brand-analysis/bioteiga.de</x:v>
      </x:c>
    </x:row>
    <x:row r="43" ht="21" customHeight="1">
      <x:c r="A43" s="230" t="str">
        <x:v>DE</x:v>
      </x:c>
      <x:c r="B43" s="230" t="str">
        <x:v>paintballbuddy.de</x:v>
      </x:c>
      <x:c r="C43" s="230" t="str">
        <x:v>Sports &amp; Outdoors</x:v>
      </x:c>
      <x:c r="D43" s="231" t="n">
        <x:v>17297</x:v>
      </x:c>
      <x:c r="E43" s="231" t="n">
        <x:v>40</x:v>
      </x:c>
      <x:c r="F43" s="231" t="n">
        <x:v>0</x:v>
      </x:c>
      <x:c r="G43" s="232" t="n">
        <x:v>113.19</x:v>
      </x:c>
      <x:c r="H43" s="232" t="n">
        <x:f>G43/'Méthode'!$B$5</x:f>
        <x:v>98.98557061652821</x:v>
      </x:c>
      <x:c r="I43" s="232" t="n">
        <x:v>0.29</x:v>
      </x:c>
      <x:c r="J43" s="232" t="n">
        <x:v>2283.84</x:v>
      </x:c>
      <x:c r="K43" s="231" t="n">
        <x:v>2000</x:v>
      </x:c>
      <x:c r="L43" s="230" t="str">
        <x:v>paintball markers ; paintball accessories ; paintball grenades ; co2 cartridges ; magazines ; paintball protective gear ; paintball ammo</x:v>
      </x:c>
      <x:c r="M43" s="230" t="str">
        <x:v>Entdecke Paintball Buddy – finde die besten Paintball Markierer, Zubehör, Ausrüstung, Granaten &amp; vieles mehr! Jetzt Artikel shoppen bei | PaintballBuddy</x:v>
      </x:c>
      <x:c r="N43" s="230" t="str">
        <x:v>https://app.brandsearch.co/brand-analysis/paintballbuddy.de</x:v>
      </x:c>
    </x:row>
    <x:row r="44" ht="21" customHeight="1">
      <x:c r="A44" s="230" t="str">
        <x:v>DE</x:v>
      </x:c>
      <x:c r="B44" s="230" t="str">
        <x:v>drahtexpress.de</x:v>
      </x:c>
      <x:c r="C44" s="230" t="str">
        <x:v>Home &amp; Garden</x:v>
      </x:c>
      <x:c r="D44" s="231" t="n">
        <x:v>15544</x:v>
      </x:c>
      <x:c r="E44" s="231" t="n">
        <x:v>40</x:v>
      </x:c>
      <x:c r="F44" s="231" t="n">
        <x:v>0</x:v>
      </x:c>
      <x:c r="G44" s="232" t="n">
        <x:v>115.98</x:v>
      </x:c>
      <x:c r="H44" s="232" t="n">
        <x:f>G44/'Méthode'!$B$5</x:f>
        <x:v>101.42544818539572</x:v>
      </x:c>
      <x:c r="I44" s="232" t="n">
        <x:v>7.98</x:v>
      </x:c>
      <x:c r="J44" s="232" t="n">
        <x:v>421.39</x:v>
      </x:c>
      <x:c r="K44" s="231" t="n">
        <x:v>47</x:v>
      </x:c>
      <x:c r="L44" s="230" t="str">
        <x:v>wire mesh ; bird cage wire ; animal fencing ; live traps ; hardware clips ; galvanized wire ; fencing accessories</x:v>
      </x:c>
      <x:c r="M44" s="230" t="str">
        <x:v>Volierendraht und Drahtgitter von Drahtexpress in Edelstahl V2A, feuerverzinkt, grün und schwarz sowie tierschutzgerechte Lebendfallen liefern wir in hochwertiger Qualität schnell und günstig.</x:v>
      </x:c>
      <x:c r="N44" s="230" t="str">
        <x:v>https://app.brandsearch.co/brand-analysis/drahtexpress.de</x:v>
      </x:c>
    </x:row>
    <x:row r="45" ht="21" customHeight="1">
      <x:c r="A45" s="230" t="str">
        <x:v>DE</x:v>
      </x:c>
      <x:c r="B45" s="230" t="str">
        <x:v>kardena.de</x:v>
      </x:c>
      <x:c r="C45" s="230" t="str">
        <x:v>Health &amp; Supplements</x:v>
      </x:c>
      <x:c r="D45" s="231" t="n">
        <x:v>14769</x:v>
      </x:c>
      <x:c r="E45" s="231" t="n">
        <x:v>40</x:v>
      </x:c>
      <x:c r="F45" s="231" t="n">
        <x:v>0</x:v>
      </x:c>
      <x:c r="G45" s="232" t="n">
        <x:v>118.82</x:v>
      </x:c>
      <x:c r="H45" s="232" t="n">
        <x:f>G45/'Méthode'!$B$5</x:f>
        <x:v>103.90905115872322</x:v>
      </x:c>
      <x:c r="I45" s="232" t="n">
        <x:v>5.56</x:v>
      </x:c>
      <x:c r="J45" s="232" t="n">
        <x:v>303.09</x:v>
      </x:c>
      <x:c r="K45" s="231" t="n">
        <x:v>116</x:v>
      </x:c>
      <x:c r="L45" s="230" t="str">
        <x:v>smartwatches ; smartrings ; health monitoring wearables ; vital signs trackers ; senior-friendly health devices</x:v>
      </x:c>
      <x:c r="M45" s="230" t="str">
        <x:v>Gesundheitsuhren &amp; Ringe von Kardena: Blutdruck, Schlaf &amp; Sauerstoff messen, SOS-Funktion für Sicherheit im Alltag. Qualität &amp; Service aus Deutschland.</x:v>
      </x:c>
      <x:c r="N45" s="230" t="str">
        <x:v>https://app.brandsearch.co/brand-analysis/kardena.de</x:v>
      </x:c>
    </x:row>
    <x:row r="46" ht="21" customHeight="1">
      <x:c r="A46" s="230" t="str">
        <x:v>DE</x:v>
      </x:c>
      <x:c r="B46" s="230" t="str">
        <x:v>www.airbag24.de</x:v>
      </x:c>
      <x:c r="C46" s="230" t="str">
        <x:v>Automotive</x:v>
      </x:c>
      <x:c r="D46" s="231" t="n">
        <x:v>13421</x:v>
      </x:c>
      <x:c r="E46" s="231" t="n">
        <x:v>40</x:v>
      </x:c>
      <x:c r="F46" s="231" t="n">
        <x:v>0</x:v>
      </x:c>
      <x:c r="G46" s="232" t="n">
        <x:v>189.94</x:v>
      </x:c>
      <x:c r="H46" s="232" t="n">
        <x:f>G46/'Méthode'!$B$5</x:f>
        <x:v>166.10406646261478</x:v>
      </x:c>
      <x:c r="I46" s="232" t="n">
        <x:v>74.23</x:v>
      </x:c>
      <x:c r="J46" s="232" t="n">
        <x:v>314.04</x:v>
      </x:c>
      <x:c r="K46" s="231" t="n">
        <x:v>2000</x:v>
      </x:c>
      <x:c r="L46" s="230" t="str">
        <x:v>airbag control modules ; airbag repair services ; airbag simulators ; airbag sensors ; airbag system parts</x:v>
      </x:c>
      <x:c r="M46" s="230" t="str">
        <x:v>The experts at our specialist workshop for airbag system parts repair defective airbag control units from all manufacturers, including Audi, VW, Bosch, Mercedes, and BMW.</x:v>
      </x:c>
      <x:c r="N46" s="230" t="str">
        <x:v>https://app.brandsearch.co/brand-analysis/airbag24.de</x:v>
      </x:c>
    </x:row>
    <x:row r="47" ht="21" customHeight="1">
      <x:c r="A47" s="230" t="str">
        <x:v>DE</x:v>
      </x:c>
      <x:c r="B47" s="230" t="str">
        <x:v>konsolen-reparatur.de</x:v>
      </x:c>
      <x:c r="C47" s="230" t="str">
        <x:v>Electronics &amp; Tech</x:v>
      </x:c>
      <x:c r="D47" s="231" t="n">
        <x:v>12824</x:v>
      </x:c>
      <x:c r="E47" s="231" t="n">
        <x:v>40</x:v>
      </x:c>
      <x:c r="F47" s="231" t="n">
        <x:v>0</x:v>
      </x:c>
      <x:c r="G47" s="232" t="n">
        <x:v>128.08</x:v>
      </x:c>
      <x:c r="H47" s="232" t="n">
        <x:f>G47/'Méthode'!$B$5</x:f>
        <x:v>112.00699606471362</x:v>
      </x:c>
      <x:c r="I47" s="232" t="n">
        <x:v>37.68</x:v>
      </x:c>
      <x:c r="J47" s="232" t="n">
        <x:v>218.11</x:v>
      </x:c>
      <x:c r="K47" s="231" t="n">
        <x:v>74</x:v>
      </x:c>
      <x:c r="L47" s="230" t="str">
        <x:v>console repair ; controller repair ; hdmi port repair ; power supply repair ; mainboard repair ; cleaning services</x:v>
      </x:c>
      <x:c r="M47" s="230" t="str">
        <x:v>PS5, PS4, Xbox oder Nintendo Switch defekt? Schnelle Konsolen Reparatur per Versand – Festpreis, 1 Jahr Garantie, 2–3 Werktage. Jetzt beauftragen!</x:v>
      </x:c>
      <x:c r="N47" s="230" t="str">
        <x:v>https://app.brandsearch.co/brand-analysis/konsolen-reparatur.de</x:v>
      </x:c>
    </x:row>
    <x:row r="48" ht="21" customHeight="1">
      <x:c r="A48" s="230" t="str">
        <x:v>DE</x:v>
      </x:c>
      <x:c r="B48" s="230" t="str">
        <x:v>www.heatpump.eu</x:v>
      </x:c>
      <x:c r="C48" s="230" t="str">
        <x:v>Home &amp; Garden</x:v>
      </x:c>
      <x:c r="D48" s="231" t="n">
        <x:v>9357</x:v>
      </x:c>
      <x:c r="E48" s="231" t="n">
        <x:v>40</x:v>
      </x:c>
      <x:c r="F48" s="231" t="n">
        <x:v>0</x:v>
      </x:c>
      <x:c r="G48" s="232" t="n">
        <x:v>401.71</x:v>
      </x:c>
      <x:c r="H48" s="232" t="n">
        <x:f>G48/'Méthode'!$B$5</x:f>
        <x:v>351.29864451246175</x:v>
      </x:c>
      <x:c r="I48" s="232" t="n">
        <x:v>1.06</x:v>
      </x:c>
      <x:c r="J48" s="232" t="n">
        <x:v>4623.83</x:v>
      </x:c>
      <x:c r="K48" s="231" t="n">
        <x:v>29</x:v>
      </x:c>
      <x:c r="L48" s="230" t="str">
        <x:v>air-to-water heat pumps ; monoblock heat pumps ; control panels ; hot water systems ; boiler replacement solutions</x:v>
      </x:c>
      <x:c r="M48" s="230" t="str">
        <x:v>Discover Haier's new Air to Water heat pump, designed specifically for the European market, offering energy-efficient space heating and hot water using free renewable energy. With our innovative technology, you can take advantage of the free boiler scheme for a seamless boiler replacement.</x:v>
      </x:c>
      <x:c r="N48" s="230" t="str">
        <x:v>https://app.brandsearch.co/brand-analysis/heatpump.eu</x:v>
      </x:c>
    </x:row>
    <x:row r="49" ht="21" customHeight="1">
      <x:c r="A49" s="230" t="str">
        <x:v>DE</x:v>
      </x:c>
      <x:c r="B49" s="230" t="str">
        <x:v>metallideen24.de</x:v>
      </x:c>
      <x:c r="C49" s="230" t="str">
        <x:v>Home &amp; Garden</x:v>
      </x:c>
      <x:c r="D49" s="231" t="n">
        <x:v>8978</x:v>
      </x:c>
      <x:c r="E49" s="231" t="n">
        <x:v>40</x:v>
      </x:c>
      <x:c r="F49" s="231" t="n">
        <x:v>0</x:v>
      </x:c>
      <x:c r="G49" s="232" t="n">
        <x:v>106.2</x:v>
      </x:c>
      <x:c r="H49" s="232" t="n">
        <x:f>G49/'Méthode'!$B$5</x:f>
        <x:v>92.87275907302143</x:v>
      </x:c>
      <x:c r="I49" s="232" t="n">
        <x:v>11.42</x:v>
      </x:c>
      <x:c r="J49" s="232" t="n">
        <x:v>313.91</x:v>
      </x:c>
      <x:c r="K49" s="231" t="n">
        <x:v>12</x:v>
      </x:c>
      <x:c r="L49" s="230" t="str">
        <x:v>metal sheets ; perforated metal panels ; metal accessories ; custom metal parts ; metal fabrication products</x:v>
      </x:c>
      <x:c r="M49" s="230" t="str">
        <x:v>Konfigurieren Sie jetzt Ihr Lochblech &amp; Metallprodukt nach Maß in verschiedenen Materialen ✓ Zuschnitt vom Experten ✓ Sofort verfügbar ✓ Kein Mindestbestellwert</x:v>
      </x:c>
      <x:c r="N49" s="230" t="str">
        <x:v>https://app.brandsearch.co/brand-analysis/metallideen24.de</x:v>
      </x:c>
    </x:row>
    <x:row r="50" ht="21" customHeight="1">
      <x:c r="A50" s="230" t="str">
        <x:v>DE</x:v>
      </x:c>
      <x:c r="B50" s="230" t="str">
        <x:v>esmart.de</x:v>
      </x:c>
      <x:c r="C50" s="230" t="str">
        <x:v>Electronics &amp; Tech</x:v>
      </x:c>
      <x:c r="D50" s="231" t="n">
        <x:v>8925</x:v>
      </x:c>
      <x:c r="E50" s="231" t="n">
        <x:v>40</x:v>
      </x:c>
      <x:c r="F50" s="231" t="n">
        <x:v>0</x:v>
      </x:c>
      <x:c r="G50" s="232" t="n">
        <x:v>367.35</x:v>
      </x:c>
      <x:c r="H50" s="232" t="n">
        <x:f>G50/'Méthode'!$B$5</x:f>
        <x:v>321.2505465675558</x:v>
      </x:c>
      <x:c r="I50" s="232" t="n">
        <x:v>17.12</x:v>
      </x:c>
      <x:c r="J50" s="232" t="n">
        <x:v>5709.86</x:v>
      </x:c>
      <x:c r="K50" s="231" t="n">
        <x:v>64</x:v>
      </x:c>
      <x:c r="L50" s="230" t="str">
        <x:v>motorized projection screens ; manual projection screens ; electric projection screens ; fixed frame screens ; portable projection screens ; tension screens ; roll-up screens</x:v>
      </x:c>
      <x:c r="M50" s="230" t="str">
        <x:v>Ob Heimkino, Präsentation oder Spielspaß - bei uns finden Sie Leinwände für alle Bereiche. Große Auswahl aus manuellen, elektrischen, gerahmten und mobilen Leinwänden. Hohe Qualität. Günstige Preise. Modelle: MIMOTO, MIROLO, MISATI, TATENSO, MIMOBI, EXR, EXM, EXS, EXA, X-Type, CSX</x:v>
      </x:c>
      <x:c r="N50" s="230" t="str">
        <x:v>https://app.brandsearch.co/brand-analysis/esmart.de</x:v>
      </x:c>
    </x:row>
    <x:row r="51" ht="21" customHeight="1">
      <x:c r="A51" s="230" t="str">
        <x:v>DE</x:v>
      </x:c>
      <x:c r="B51" s="230" t="str">
        <x:v>www.betriebseinrichtung.de</x:v>
      </x:c>
      <x:c r="C51" s="230" t="str">
        <x:v>Other</x:v>
      </x:c>
      <x:c r="D51" s="231" t="n">
        <x:v>8732</x:v>
      </x:c>
      <x:c r="E51" s="231" t="n">
        <x:v>40</x:v>
      </x:c>
      <x:c r="F51" s="231" t="n">
        <x:v>0</x:v>
      </x:c>
      <x:c r="G51" s="232" t="n">
        <x:v>436.27</x:v>
      </x:c>
      <x:c r="H51" s="232" t="n">
        <x:f>G51/'Méthode'!$B$5</x:f>
        <x:v>381.5216440752077</x:v>
      </x:c>
      <x:c r="I51" s="232" t="n">
        <x:v>6.85</x:v>
      </x:c>
      <x:c r="J51" s="232" t="n">
        <x:v>6566.38</x:v>
      </x:c>
      <x:c r="K51" s="231" t="n">
        <x:v>760</x:v>
      </x:c>
      <x:c r="L51" s="230" t="str">
        <x:v>steel cabinets ; office desks ; storage cabinets ; meeting tables ; workbenches ; safety cabinets ; office furniture sets</x:v>
      </x:c>
      <x:c r="M51" s="230" t="str">
        <x:v>Betriebseinrichtung aus Stahl von Ceha Deutschland – Spinde, Schränke, Büromöbel. 800+ Artikel ab Lager, Lieferung in 3–5 Werktagen. Jetzt bestellen.</x:v>
      </x:c>
      <x:c r="N51" s="230" t="str">
        <x:v>https://app.brandsearch.co/brand-analysis/betriebseinrichtung.de</x:v>
      </x:c>
    </x:row>
    <x:row r="52" ht="21" customHeight="1">
      <x:c r="A52" s="230" t="str">
        <x:v>DE</x:v>
      </x:c>
      <x:c r="B52" s="230" t="str">
        <x:v>heizkoerper.shop</x:v>
      </x:c>
      <x:c r="C52" s="230" t="str">
        <x:v>Home &amp; Garden</x:v>
      </x:c>
      <x:c r="D52" s="231" t="n">
        <x:v>7986</x:v>
      </x:c>
      <x:c r="E52" s="231" t="n">
        <x:v>40</x:v>
      </x:c>
      <x:c r="F52" s="231" t="n">
        <x:v>0</x:v>
      </x:c>
      <x:c r="G52" s="232" t="n">
        <x:v>354.07</x:v>
      </x:c>
      <x:c r="H52" s="232" t="n">
        <x:f>G52/'Méthode'!$B$5</x:f>
        <x:v>309.6370791429821</x:v>
      </x:c>
      <x:c r="I52" s="232" t="n">
        <x:v>26.27</x:v>
      </x:c>
      <x:c r="J52" s="232" t="n">
        <x:v>740</x:v>
      </x:c>
      <x:c r="K52" s="231" t="n">
        <x:v>46</x:v>
      </x:c>
      <x:c r="L52" s="230" t="str">
        <x:v>radiators ; heater accessories ; towel warmers ; electric heating elements ; installation sets</x:v>
      </x:c>
      <x:c r="M52" s="230" t="str">
        <x:v>Unsere Badheizkörper mit Mittelanschluss sind formschön und problemlos zu montieren. Daneben liefert heizkoerper.shop auch innovative Designer-Modelle</x:v>
      </x:c>
      <x:c r="N52" s="230" t="str">
        <x:v>https://app.brandsearch.co/brand-analysis/heizkoerper.shop</x:v>
      </x:c>
    </x:row>
    <x:row r="53" ht="21" customHeight="1">
      <x:c r="A53" s="230" t="str">
        <x:v>DE</x:v>
      </x:c>
      <x:c r="B53" s="230" t="str">
        <x:v>www.outfits24.de</x:v>
      </x:c>
      <x:c r="C53" s="230" t="str">
        <x:v>Fashion</x:v>
      </x:c>
      <x:c r="D53" s="231" t="n">
        <x:v>7218</x:v>
      </x:c>
      <x:c r="E53" s="231" t="n">
        <x:v>40</x:v>
      </x:c>
      <x:c r="F53" s="231" t="n">
        <x:v>0</x:v>
      </x:c>
      <x:c r="G53" s="232" t="n">
        <x:v>140.6</x:v>
      </x:c>
      <x:c r="H53" s="232" t="n">
        <x:f>G53/'Méthode'!$B$5</x:f>
        <x:v>122.95583734149541</x:v>
      </x:c>
      <x:c r="I53" s="232" t="n">
        <x:v>10.27</x:v>
      </x:c>
      <x:c r="J53" s="232" t="n">
        <x:v>7801.98</x:v>
      </x:c>
      <x:c r="K53" s="231" t="n">
        <x:v>2000</x:v>
      </x:c>
      <x:c r="L53" s="230" t="str">
        <x:v>women's clothing ; men's clothing ; shoes ; jackets ; shirts ; pants ; dresses</x:v>
      </x:c>
      <x:c r="M53" s="230" t="str">
        <x:v>Kostenloser Versand ✓ DHL Lieferung ✓ Kostenlose Rücksendung ✓ Mode für Frauen &amp; Männer im Sale online bestellen ✓ Kauf auf Rechnung ✓ Echt vom…</x:v>
      </x:c>
      <x:c r="N53" s="230" t="str">
        <x:v>https://app.brandsearch.co/brand-analysis/outfits24.de</x:v>
      </x:c>
    </x:row>
    <x:row r="54" ht="21" customHeight="1">
      <x:c r="A54" s="230" t="str">
        <x:v>DE</x:v>
      </x:c>
      <x:c r="B54" s="230" t="str">
        <x:v>odiporo.de</x:v>
      </x:c>
      <x:c r="C54" s="230" t="str">
        <x:v>Electronics &amp; Tech</x:v>
      </x:c>
      <x:c r="D54" s="231" t="n">
        <x:v>6462</x:v>
      </x:c>
      <x:c r="E54" s="231" t="n">
        <x:v>40</x:v>
      </x:c>
      <x:c r="F54" s="231" t="n">
        <x:v>0</x:v>
      </x:c>
      <x:c r="G54" s="232" t="n">
        <x:v>358.08</x:v>
      </x:c>
      <x:c r="H54" s="232" t="n">
        <x:f>G54/'Méthode'!$B$5</x:f>
        <x:v>313.14385658067334</x:v>
      </x:c>
      <x:c r="I54" s="232" t="n">
        <x:v>28.54</x:v>
      </x:c>
      <x:c r="J54" s="232" t="n">
        <x:v>1597.63</x:v>
      </x:c>
      <x:c r="K54" s="231" t="n">
        <x:v>136</x:v>
      </x:c>
      <x:c r="L54" s="230" t="str">
        <x:v>electric scooters ; computer monitors ; fitness equipment ; accessories ; gadgets</x:v>
      </x:c>
      <x:c r="M54" s="230" t="str">
        <x:v>Als aufstrebendes E-Commerce-Unternehmen haben wir es uns zur Aufgabe gemacht, unseren Kunden hochwertige Produkte zu einem erstklassigen Preis-Leistungs-Verhältnis anzubieten. Unser breit gefächertes und ständig wachsendes Sortiment reicht von Elektromobilität über smarte Haushaltsartikel bis hin zu IT- und Unterhaltu</x:v>
      </x:c>
      <x:c r="N54" s="230" t="str">
        <x:v>https://app.brandsearch.co/brand-analysis/odiporo.de</x:v>
      </x:c>
    </x:row>
    <x:row r="55" ht="21" customHeight="1">
      <x:c r="A55" s="230" t="str">
        <x:v>DE</x:v>
      </x:c>
      <x:c r="B55" s="230" t="str">
        <x:v>lausitzerfarbwerke.de</x:v>
      </x:c>
      <x:c r="C55" s="230" t="str">
        <x:v>Other</x:v>
      </x:c>
      <x:c r="D55" s="231" t="n">
        <x:v>5586</x:v>
      </x:c>
      <x:c r="E55" s="231" t="n">
        <x:v>40</x:v>
      </x:c>
      <x:c r="F55" s="231" t="n">
        <x:v>0</x:v>
      </x:c>
      <x:c r="G55" s="232" t="n">
        <x:v>188.85</x:v>
      </x:c>
      <x:c r="H55" s="232" t="n">
        <x:f>G55/'Méthode'!$B$5</x:f>
        <x:v>165.15085264538698</x:v>
      </x:c>
      <x:c r="I55" s="232" t="n">
        <x:v>21.57</x:v>
      </x:c>
      <x:c r="J55" s="232" t="n">
        <x:v>570.98</x:v>
      </x:c>
      <x:c r="K55" s="231" t="n">
        <x:v>987</x:v>
      </x:c>
      <x:c r="L55" s="230" t="str">
        <x:v>paint ; coatings ; sealants ; industrial paints ; specialty paints</x:v>
      </x:c>
      <x:c r="M55" s="230" t="str">
        <x:v>Lausitzer Farbwerke</x:v>
      </x:c>
      <x:c r="N55" s="230" t="str">
        <x:v>https://app.brandsearch.co/brand-analysis/lausitzerfarbwerke.de</x:v>
      </x:c>
    </x:row>
    <x:row r="56" ht="21" customHeight="1">
      <x:c r="A56" s="230" t="str">
        <x:v>DE</x:v>
      </x:c>
      <x:c r="B56" s="230" t="str">
        <x:v>www.ez-tools.de</x:v>
      </x:c>
      <x:c r="C56" s="230" t="str">
        <x:v>Other</x:v>
      </x:c>
      <x:c r="D56" s="231" t="n">
        <x:v>5555</x:v>
      </x:c>
      <x:c r="E56" s="231" t="n">
        <x:v>40</x:v>
      </x:c>
      <x:c r="F56" s="231" t="n">
        <x:v>0</x:v>
      </x:c>
      <x:c r="G56" s="232" t="n">
        <x:v>339.05</x:v>
      </x:c>
      <x:c r="H56" s="232" t="n">
        <x:f>G56/'Méthode'!$B$5</x:f>
        <x:v>296.5019676432007</x:v>
      </x:c>
      <x:c r="I56" s="232" t="n">
        <x:v>2.85</x:v>
      </x:c>
      <x:c r="J56" s="232" t="n">
        <x:v>7188.68</x:v>
      </x:c>
      <x:c r="K56" s="231" t="n">
        <x:v>2000</x:v>
      </x:c>
      <x:c r="L56" s="230" t="str">
        <x:v>hydraulic cylinders ; pumps ; bending machines ; crimping tools ; power drills ; toolboxes ; angle grinders ; hydraulic hand pumps</x:v>
      </x:c>
      <x:c r="M56" s="230" t="str">
        <x:v>Willkommen im EZ-Tools GmbH. Webshop. Wir verkaufen eine ganze Reihe von Spezialwerkzeugen wie Hydraulikzylinder, Pumpen, Biegemaschinen, Crimpwerkzeuge, WWW.EZ-TOOLS.DE</x:v>
      </x:c>
      <x:c r="N56" s="230" t="str">
        <x:v>https://app.brandsearch.co/brand-analysis/ez-tools.de</x:v>
      </x:c>
    </x:row>
    <x:row r="57" ht="21" customHeight="1">
      <x:c r="A57" s="230" t="str">
        <x:v>DE</x:v>
      </x:c>
      <x:c r="B57" s="230" t="str">
        <x:v>biohy-reiniger.de</x:v>
      </x:c>
      <x:c r="C57" s="230" t="str">
        <x:v>Home &amp; Garden</x:v>
      </x:c>
      <x:c r="D57" s="231" t="n">
        <x:v>3050</x:v>
      </x:c>
      <x:c r="E57" s="231" t="n">
        <x:v>40</x:v>
      </x:c>
      <x:c r="F57" s="231" t="n">
        <x:v>0</x:v>
      </x:c>
      <x:c r="G57" s="232" t="n">
        <x:v>227.57</x:v>
      </x:c>
      <x:c r="H57" s="232" t="n">
        <x:f>G57/'Méthode'!$B$5</x:f>
        <x:v>199.0118058592042</x:v>
      </x:c>
      <x:c r="I57" s="232" t="n">
        <x:v>4.91</x:v>
      </x:c>
      <x:c r="J57" s="232" t="n">
        <x:v>3870.73</x:v>
      </x:c>
      <x:c r="K57" s="231" t="n">
        <x:v>153</x:v>
      </x:c>
      <x:c r="L57" s="230" t="str">
        <x:v>eco-friendly cleaning concentrates ; multi-surface cleaners ; glass cleaners ; textile and upholstery cleaners ; ultrasound cleaning devices ; squeegee and mop accessories ; dispenser and dosing aids</x:v>
      </x:c>
      <x:c r="M57" s="230" t="str">
        <x:v>Mit unseren umweltfreundlichen Bio-Reiniger Konzentraten sparst Du Geld und Plastik. ✔️Blitzversand ✔️Made in Germany✔️100% Vegan.</x:v>
      </x:c>
      <x:c r="N57" s="230" t="str">
        <x:v>https://app.brandsearch.co/brand-analysis/biohy-reiniger.de</x:v>
      </x:c>
    </x:row>
    <x:row r="58" ht="21" customHeight="1">
      <x:c r="A58" s="230" t="str">
        <x:v>DE</x:v>
      </x:c>
      <x:c r="B58" s="230" t="str">
        <x:v>gardenflare.com</x:v>
      </x:c>
      <x:c r="C58" s="230" t="str">
        <x:v>Home &amp; Garden</x:v>
      </x:c>
      <x:c r="D58" s="231" t="n">
        <x:v>2268</x:v>
      </x:c>
      <x:c r="E58" s="231" t="n">
        <x:v>40</x:v>
      </x:c>
      <x:c r="F58" s="231" t="n">
        <x:v>0</x:v>
      </x:c>
      <x:c r="G58" s="232" t="n">
        <x:v>188.26</x:v>
      </x:c>
      <x:c r="H58" s="232" t="n">
        <x:f>G58/'Méthode'!$B$5</x:f>
        <x:v>164.63489287275908</x:v>
      </x:c>
      <x:c r="I58" s="232" t="n">
        <x:v>13.65</x:v>
      </x:c>
      <x:c r="J58" s="232" t="n">
        <x:v>1712.85</x:v>
      </x:c>
      <x:c r="K58" s="231" t="n">
        <x:v>24</x:v>
      </x:c>
      <x:c r="L58" s="230" t="str">
        <x:v>fireplace tubes ; fire pits ; outdoor fire accessories ; garden decor ; terrace lighting</x:v>
      </x:c>
      <x:c r="M58" s="230" t="str">
        <x:v>Feuerrohre &amp; Tischfeuer für Garten &amp; Terrasse. Stilvolles Design, langlebige Qualität und sofort einsatzbereit. Jetzt entdecken.</x:v>
      </x:c>
      <x:c r="N58" s="230" t="str">
        <x:v>https://app.brandsearch.co/brand-analysis/gardenflare.com</x:v>
      </x:c>
    </x:row>
    <x:row r="59" ht="21" customHeight="1">
      <x:c r="A59" s="230" t="str">
        <x:v>DE</x:v>
      </x:c>
      <x:c r="B59" s="230" t="str">
        <x:v>nuvear.de</x:v>
      </x:c>
      <x:c r="C59" s="230" t="str">
        <x:v>Fashion</x:v>
      </x:c>
      <x:c r="D59" s="231" t="n">
        <x:v>953</x:v>
      </x:c>
      <x:c r="E59" s="231" t="n">
        <x:v>40</x:v>
      </x:c>
      <x:c r="F59" s="231" t="n">
        <x:v>0</x:v>
      </x:c>
      <x:c r="G59" s="232" t="n">
        <x:v>107</x:v>
      </x:c>
      <x:c r="H59" s="232" t="n">
        <x:f>G59/'Méthode'!$B$5</x:f>
        <x:v>93.57236554438128</x:v>
      </x:c>
      <x:c r="I59" s="232" t="n">
        <x:v>107</x:v>
      </x:c>
      <x:c r="J59" s="232" t="n">
        <x:v>107</x:v>
      </x:c>
      <x:c r="K59" s="231" t="n">
        <x:v>2</x:v>
      </x:c>
      <x:c r="L59" s="230" t="str">
        <x:v>thermal pants ; outdoor pants ; waterproof trousers ; fleece-lined leggings</x:v>
      </x:c>
      <x:c r="M59" s="230" t="str">
        <x:v>nuvear.de</x:v>
      </x:c>
      <x:c r="N59" s="230" t="str">
        <x:v>https://app.brandsearch.co/brand-analysis/nuvear.de</x:v>
      </x:c>
    </x:row>
    <x:row r="60" ht="21" customHeight="1">
      <x:c r="A60" s="230" t="str">
        <x:v>DE</x:v>
      </x:c>
      <x:c r="B60" s="230" t="str">
        <x:v>novarail.eu</x:v>
      </x:c>
      <x:c r="C60" s="230" t="str">
        <x:v>Home Decor</x:v>
      </x:c>
      <x:c r="D60" s="231" t="n">
        <x:v>600</x:v>
      </x:c>
      <x:c r="E60" s="231" t="n">
        <x:v>40</x:v>
      </x:c>
      <x:c r="F60" s="231" t="n">
        <x:v>0</x:v>
      </x:c>
      <x:c r="G60" s="232" t="n">
        <x:v>435.39</x:v>
      </x:c>
      <x:c r="H60" s="232" t="n">
        <x:f>G60/'Méthode'!$B$5</x:f>
        <x:v>380.75207695671185</x:v>
      </x:c>
      <x:c r="I60" s="232" t="n">
        <x:v>3.43</x:v>
      </x:c>
      <x:c r="J60" s="232" t="n">
        <x:v>1355.53</x:v>
      </x:c>
      <x:c r="K60" s="231" t="n">
        <x:v>77</x:v>
      </x:c>
      <x:c r="L60" s="230" t="str">
        <x:v>led lighting systems ; smart lighting accessories ; lighting control kits ; customizable light sets ; transformers ; endcaps ; spotlights ; connectors</x:v>
      </x:c>
      <x:c r="M60" s="230" t="str">
        <x:v>Professionelle LED Schienenlampen und Lichtsysteme ✓ Vorkonfigurierte Sets oder individuelles Lichtkonzept und 3D Schienensystem Konfigurator ✓ Smart Lighting ✓ Erstklassige Qualität ✓ CRI &gt;97 ✓ Unterstützt Biorhythmus ✓ Jetzt kaufen</x:v>
      </x:c>
      <x:c r="N60" s="230" t="str">
        <x:v>https://app.brandsearch.co/brand-analysis/novarail.eu</x:v>
      </x:c>
    </x:row>
    <x:row r="61" ht="21" customHeight="1">
      <x:c r="A61" s="230" t="str">
        <x:v>ES</x:v>
      </x:c>
      <x:c r="B61" s="230" t="str">
        <x:v>visual-click.com</x:v>
      </x:c>
      <x:c r="C61" s="230" t="str">
        <x:v>Fashion</x:v>
      </x:c>
      <x:c r="D61" s="231" t="n">
        <x:v>193394</x:v>
      </x:c>
      <x:c r="E61" s="231" t="n">
        <x:v>40</x:v>
      </x:c>
      <x:c r="F61" s="231" t="n">
        <x:v>0</x:v>
      </x:c>
      <x:c r="G61" s="232" t="n">
        <x:v>155.45</x:v>
      </x:c>
      <x:c r="H61" s="232" t="n">
        <x:f>G61/'Méthode'!$B$5</x:f>
        <x:v>135.9422824661128</x:v>
      </x:c>
      <x:c r="I61" s="232" t="n">
        <x:v>5.71</x:v>
      </x:c>
      <x:c r="J61" s="232" t="n">
        <x:v>3519.41</x:v>
      </x:c>
      <x:c r="K61" s="231" t="n">
        <x:v>2000</x:v>
      </x:c>
      <x:c r="L61" s="230" t="str">
        <x:v>sunglasses ; prescription glasses ; contact lenses ; eyewear accessories ; lens solutions</x:v>
      </x:c>
      <x:c r="M61" s="230" t="str">
        <x:v>Visual-Click 👓: Gafas de Sol, Graduadas y Lentillas de Marcas Top. Envío Rápido, Precios Competitivos y Compra Segura. ¡Descúbrelo!</x:v>
      </x:c>
      <x:c r="N61" s="230" t="str">
        <x:v>https://app.brandsearch.co/brand-analysis/visual-click.com</x:v>
      </x:c>
    </x:row>
    <x:row r="62" ht="21" customHeight="1">
      <x:c r="A62" s="230" t="str">
        <x:v>ES</x:v>
      </x:c>
      <x:c r="B62" s="230" t="str">
        <x:v>www.floraqueen.com</x:v>
      </x:c>
      <x:c r="C62" s="230" t="str">
        <x:v>Other</x:v>
      </x:c>
      <x:c r="D62" s="231" t="n">
        <x:v>155124</x:v>
      </x:c>
      <x:c r="E62" s="231" t="n">
        <x:v>40</x:v>
      </x:c>
      <x:c r="F62" s="231" t="n">
        <x:v>0</x:v>
      </x:c>
      <x:c r="G62" s="232" t="n">
        <x:v>114.41</x:v>
      </x:c>
      <x:c r="H62" s="232" t="n">
        <x:f>G62/'Méthode'!$B$5</x:f>
        <x:v>100.05247048535199</x:v>
      </x:c>
      <x:c r="I62" s="232" t="n">
        <x:v>71.78</x:v>
      </x:c>
      <x:c r="J62" s="232" t="n">
        <x:v>159.71</x:v>
      </x:c>
      <x:c r="K62" s="231" t="n">
        <x:v>725</x:v>
      </x:c>
      <x:c r="L62" s="230" t="str">
        <x:v>flower bouquets ; flower arrangements ; gift boxes ; flower subscriptions ; flower accessories</x:v>
      </x:c>
      <x:c r="M62" s="230" t="str">
        <x:v>Flora Queen</x:v>
      </x:c>
      <x:c r="N62" s="230" t="str">
        <x:v>https://app.brandsearch.co/brand-analysis/floraqueen.com</x:v>
      </x:c>
    </x:row>
    <x:row r="63" ht="21" customHeight="1">
      <x:c r="A63" s="230" t="str">
        <x:v>ES</x:v>
      </x:c>
      <x:c r="B63" s="230" t="str">
        <x:v>pukassurfshop.com</x:v>
      </x:c>
      <x:c r="C63" s="230" t="str">
        <x:v>Sports &amp; Outdoors</x:v>
      </x:c>
      <x:c r="D63" s="231" t="n">
        <x:v>104249</x:v>
      </x:c>
      <x:c r="E63" s="231" t="n">
        <x:v>40</x:v>
      </x:c>
      <x:c r="F63" s="231" t="n">
        <x:v>0</x:v>
      </x:c>
      <x:c r="G63" s="232" t="n">
        <x:v>268.94</x:v>
      </x:c>
      <x:c r="H63" s="232" t="n">
        <x:f>G63/'Méthode'!$B$5</x:f>
        <x:v>235.19020550940095</x:v>
      </x:c>
      <x:c r="I63" s="232" t="n">
        <x:v>2</x:v>
      </x:c>
      <x:c r="J63" s="232" t="n">
        <x:v>2811</x:v>
      </x:c>
      <x:c r="K63" s="231" t="n">
        <x:v>2000</x:v>
      </x:c>
      <x:c r="L63" s="230" t="str">
        <x:v>surfboards ; surf accessories ; wetsuits ; swimwear ; surfboard racks ; wax ; custom surfboards</x:v>
      </x:c>
      <x:c r="M63" s="230" t="str">
        <x:v>Buy surfboards online from Pukas Surf, ...Lost, Channel Islands, Christenson Surfboards, Indio, Catch Surf and many more. Try our Custom Board Builder and dream big. Womens &amp; mens fashion, swimwear, and surf accessories. Curated selection for the core minded.</x:v>
      </x:c>
      <x:c r="N63" s="230" t="str">
        <x:v>https://app.brandsearch.co/brand-analysis/pukassurfshop.com</x:v>
      </x:c>
    </x:row>
    <x:row r="64" ht="21" customHeight="1">
      <x:c r="A64" s="230" t="str">
        <x:v>ES</x:v>
      </x:c>
      <x:c r="B64" s="230" t="str">
        <x:v>www.panamajack.es</x:v>
      </x:c>
      <x:c r="C64" s="230" t="str">
        <x:v>Fashion</x:v>
      </x:c>
      <x:c r="D64" s="231" t="n">
        <x:v>77110</x:v>
      </x:c>
      <x:c r="E64" s="231" t="n">
        <x:v>40</x:v>
      </x:c>
      <x:c r="F64" s="231" t="n">
        <x:v>0</x:v>
      </x:c>
      <x:c r="G64" s="232" t="n">
        <x:v>190.5</x:v>
      </x:c>
      <x:c r="H64" s="232" t="n">
        <x:f>G64/'Méthode'!$B$5</x:f>
        <x:v>166.59379099256668</x:v>
      </x:c>
      <x:c r="I64" s="232" t="n">
        <x:v>6.85</x:v>
      </x:c>
      <x:c r="J64" s="232" t="n">
        <x:v>272.93</x:v>
      </x:c>
      <x:c r="K64" s="231" t="n">
        <x:v>426</x:v>
      </x:c>
      <x:c r="L64" s="230" t="str">
        <x:v>leather boots ; sandals ; slippers ; footwear accessories ; leather care products</x:v>
      </x:c>
      <x:c r="M64" s="230" t="str">
        <x:v>En 1989 se graba por primera vez el sello de Panama Jack en unas botas. Nuestros productos destacan por su calidad, durabilidad y comodidad. Estamos orgullosos de nuestra producción local Made in Spain, desde el primer día.</x:v>
      </x:c>
      <x:c r="N64" s="230" t="str">
        <x:v>https://app.brandsearch.co/brand-analysis/panamajack.es</x:v>
      </x:c>
    </x:row>
    <x:row r="65" ht="21" customHeight="1">
      <x:c r="A65" s="230" t="str">
        <x:v>ES</x:v>
      </x:c>
      <x:c r="B65" s="230" t="str">
        <x:v>sendra.com</x:v>
      </x:c>
      <x:c r="C65" s="230" t="str">
        <x:v>Fashion</x:v>
      </x:c>
      <x:c r="D65" s="231" t="n">
        <x:v>60815</x:v>
      </x:c>
      <x:c r="E65" s="231" t="n">
        <x:v>40</x:v>
      </x:c>
      <x:c r="F65" s="231" t="n">
        <x:v>0</x:v>
      </x:c>
      <x:c r="G65" s="232" t="n">
        <x:v>364.36</x:v>
      </x:c>
      <x:c r="H65" s="232" t="n">
        <x:f>G65/'Méthode'!$B$5</x:f>
        <x:v>318.6357673808483</x:v>
      </x:c>
      <x:c r="I65" s="232" t="n">
        <x:v>2</x:v>
      </x:c>
      <x:c r="J65" s="232" t="n">
        <x:v>8776</x:v>
      </x:c>
      <x:c r="K65" s="231" t="n">
        <x:v>1646</x:v>
      </x:c>
      <x:c r="L65" s="230" t="str">
        <x:v>cowboy boots ; leather belts ; leather accessories ; western footwear ; artisan footwear</x:v>
      </x:c>
      <x:c r="M65" s="230" t="str">
        <x:v>Botas de mujer y hombre de fabricación artesanal y española. Tambien complementos y cinturones de cuero.</x:v>
      </x:c>
      <x:c r="N65" s="230" t="str">
        <x:v>https://app.brandsearch.co/brand-analysis/sendra.com</x:v>
      </x:c>
    </x:row>
    <x:row r="66" ht="21" customHeight="1">
      <x:c r="A66" s="230" t="str">
        <x:v>ES</x:v>
      </x:c>
      <x:c r="B66" s="230" t="str">
        <x:v>vintahome.com</x:v>
      </x:c>
      <x:c r="C66" s="230" t="str">
        <x:v>Furniture</x:v>
      </x:c>
      <x:c r="D66" s="231" t="n">
        <x:v>38504</x:v>
      </x:c>
      <x:c r="E66" s="231" t="n">
        <x:v>40</x:v>
      </x:c>
      <x:c r="F66" s="231" t="n">
        <x:v>0</x:v>
      </x:c>
      <x:c r="G66" s="232" t="n">
        <x:v>308.32</x:v>
      </x:c>
      <x:c r="H66" s="232" t="n">
        <x:f>G66/'Méthode'!$B$5</x:f>
        <x:v>269.62833406209006</x:v>
      </x:c>
      <x:c r="I66" s="232" t="n">
        <x:v>23.48</x:v>
      </x:c>
      <x:c r="J66" s="232" t="n">
        <x:v>2072.23</x:v>
      </x:c>
      <x:c r="K66" s="231" t="n">
        <x:v>1288</x:v>
      </x:c>
      <x:c r="L66" s="230" t="str">
        <x:v>vintage-style furniture ; dining chairs ; bar stools ; lamps and lighting ; side tables ; decor accessories</x:v>
      </x:c>
      <x:c r="M66" s="230" t="str">
        <x:v>Vintahome.com provide Best product</x:v>
      </x:c>
      <x:c r="N66" s="230" t="str">
        <x:v>https://app.brandsearch.co/brand-analysis/vintahome.com</x:v>
      </x:c>
    </x:row>
    <x:row r="67" ht="21" customHeight="1">
      <x:c r="A67" s="230" t="str">
        <x:v>ES</x:v>
      </x:c>
      <x:c r="B67" s="230" t="str">
        <x:v>tactic.cc</x:v>
      </x:c>
      <x:c r="C67" s="230" t="str">
        <x:v>Sports &amp; Outdoors</x:v>
      </x:c>
      <x:c r="D67" s="231" t="n">
        <x:v>18162</x:v>
      </x:c>
      <x:c r="E67" s="231" t="n">
        <x:v>40</x:v>
      </x:c>
      <x:c r="F67" s="231" t="n">
        <x:v>0</x:v>
      </x:c>
      <x:c r="G67" s="232" t="n">
        <x:v>111.41</x:v>
      </x:c>
      <x:c r="H67" s="232" t="n">
        <x:f>G67/'Méthode'!$B$5</x:f>
        <x:v>97.42894621775251</x:v>
      </x:c>
      <x:c r="I67" s="232" t="n">
        <x:v>15</x:v>
      </x:c>
      <x:c r="J67" s="232" t="n">
        <x:v>205</x:v>
      </x:c>
      <x:c r="K67" s="231" t="n">
        <x:v>218</x:v>
      </x:c>
      <x:c r="L67" s="230" t="str">
        <x:v>cycling bib shorts ; cycling jerseys ; socks ; cycling accessories ; sportswear</x:v>
      </x:c>
      <x:c r="M67" s="230" t="str">
        <x:v>Tactic</x:v>
      </x:c>
      <x:c r="N67" s="230" t="str">
        <x:v>https://app.brandsearch.co/brand-analysis/tactic.cc</x:v>
      </x:c>
    </x:row>
    <x:row r="68" ht="21" customHeight="1">
      <x:c r="A68" s="230" t="str">
        <x:v>ES</x:v>
      </x:c>
      <x:c r="B68" s="230" t="str">
        <x:v>www.gafasdeoptica.com</x:v>
      </x:c>
      <x:c r="C68" s="230" t="str">
        <x:v>Health &amp; Supplements</x:v>
      </x:c>
      <x:c r="D68" s="231" t="n">
        <x:v>15910</x:v>
      </x:c>
      <x:c r="E68" s="231" t="n">
        <x:v>40</x:v>
      </x:c>
      <x:c r="F68" s="231" t="n">
        <x:v>0</x:v>
      </x:c>
      <x:c r="G68" s="232" t="n">
        <x:v>129.84</x:v>
      </x:c>
      <x:c r="H68" s="232" t="n">
        <x:f>G68/'Méthode'!$B$5</x:f>
        <x:v>113.5461303017053</x:v>
      </x:c>
      <x:c r="I68" s="232" t="n">
        <x:v>1.14</x:v>
      </x:c>
      <x:c r="J68" s="232" t="n">
        <x:v>759.4</x:v>
      </x:c>
      <x:c r="K68" s="231" t="n">
        <x:v>2000</x:v>
      </x:c>
      <x:c r="L68" s="230" t="str">
        <x:v>prescription glasses ; sunglasses ; replacement lenses ; eyewear cases ; optical accessories</x:v>
      </x:c>
      <x:c r="M68" s="230" t="str">
        <x:v>Prescription glasses, sunglasses, lens replacement and original spare parts. Ray-Ban, Oakley, Tous and more. Qualified opticians · Shipping for €14.99.</x:v>
      </x:c>
      <x:c r="N68" s="230" t="str">
        <x:v>https://app.brandsearch.co/brand-analysis/gafasdeoptica.com</x:v>
      </x:c>
    </x:row>
    <x:row r="69" ht="21" customHeight="1">
      <x:c r="A69" s="230" t="str">
        <x:v>ES</x:v>
      </x:c>
      <x:c r="B69" s="230" t="str">
        <x:v>mabelle.es</x:v>
      </x:c>
      <x:c r="C69" s="230" t="str">
        <x:v>Beauty &amp; Skincare</x:v>
      </x:c>
      <x:c r="D69" s="231" t="n">
        <x:v>15605</x:v>
      </x:c>
      <x:c r="E69" s="231" t="n">
        <x:v>40</x:v>
      </x:c>
      <x:c r="F69" s="231" t="n">
        <x:v>0</x:v>
      </x:c>
      <x:c r="G69" s="232" t="n">
        <x:v>196.08</x:v>
      </x:c>
      <x:c r="H69" s="232" t="n">
        <x:f>G69/'Méthode'!$B$5</x:f>
        <x:v>171.4735461303017</x:v>
      </x:c>
      <x:c r="I69" s="232" t="n">
        <x:v>6.85</x:v>
      </x:c>
      <x:c r="J69" s="232" t="n">
        <x:v>3425.98</x:v>
      </x:c>
      <x:c r="K69" s="231" t="n">
        <x:v>97</x:v>
      </x:c>
      <x:c r="L69" s="230" t="str">
        <x:v>haircuts ; color correction ; facial treatments ; peelings ; microneedling ; aesthetic procedures ; manicure &amp; pedicure ; cosmetic treatments</x:v>
      </x:c>
      <x:c r="M69" s="230" t="str">
        <x:v>Centro de belleza integral en Madrid. Medicina estética, peluquería y wellness en un espacio exclusivo. Reserva tu cita en Ma Belle.</x:v>
      </x:c>
      <x:c r="N69" s="230" t="str">
        <x:v>https://app.brandsearch.co/brand-analysis/mabelle.es</x:v>
      </x:c>
    </x:row>
    <x:row r="70" ht="21" customHeight="1">
      <x:c r="A70" s="230" t="str">
        <x:v>ES</x:v>
      </x:c>
      <x:c r="B70" s="230" t="str">
        <x:v>www.marcelolsen.com</x:v>
      </x:c>
      <x:c r="C70" s="230" t="str">
        <x:v>Home &amp; Garden</x:v>
      </x:c>
      <x:c r="D70" s="231" t="n">
        <x:v>15164</x:v>
      </x:c>
      <x:c r="E70" s="231" t="n">
        <x:v>40</x:v>
      </x:c>
      <x:c r="F70" s="231" t="n">
        <x:v>0</x:v>
      </x:c>
      <x:c r="G70" s="232" t="n">
        <x:v>120.75</x:v>
      </x:c>
      <x:c r="H70" s="232" t="n">
        <x:f>G70/'Méthode'!$B$5</x:f>
        <x:v>105.59685177087889</x:v>
      </x:c>
      <x:c r="I70" s="232" t="n">
        <x:v>5.65</x:v>
      </x:c>
      <x:c r="J70" s="232" t="n">
        <x:v>285.43</x:v>
      </x:c>
      <x:c r="K70" s="231" t="n">
        <x:v>72</x:v>
      </x:c>
      <x:c r="L70" s="230" t="str">
        <x:v>modern furniture ; office chairs ; dining chairs ; sofas ; armchairs ; outdoor chairs ; accessories</x:v>
      </x:c>
      <x:c r="M70" s="230" t="str">
        <x:v>Shop modern, affordable furniture at Marcel Olsen. Since 2006, we’ve created stylish, Bauhaus-inspired designs—timeless, functional, and made for real life. No middlemen, no markups—just great design at fair prices. Upgrade your space today!</x:v>
      </x:c>
      <x:c r="N70" s="230" t="str">
        <x:v>https://app.brandsearch.co/brand-analysis/marcelolsen.com</x:v>
      </x:c>
    </x:row>
    <x:row r="71" ht="21" customHeight="1">
      <x:c r="A71" s="230" t="str">
        <x:v>ES</x:v>
      </x:c>
      <x:c r="B71" s="230" t="str">
        <x:v>www.panamajack.nl</x:v>
      </x:c>
      <x:c r="C71" s="230" t="str">
        <x:v>Fashion</x:v>
      </x:c>
      <x:c r="D71" s="231" t="n">
        <x:v>14970</x:v>
      </x:c>
      <x:c r="E71" s="231" t="n">
        <x:v>40</x:v>
      </x:c>
      <x:c r="F71" s="231" t="n">
        <x:v>0</x:v>
      </x:c>
      <x:c r="G71" s="232" t="n">
        <x:v>193.92</x:v>
      </x:c>
      <x:c r="H71" s="232" t="n">
        <x:f>G71/'Méthode'!$B$5</x:f>
        <x:v>169.58460865763007</x:v>
      </x:c>
      <x:c r="I71" s="232" t="n">
        <x:v>9.14</x:v>
      </x:c>
      <x:c r="J71" s="232" t="n">
        <x:v>307.19</x:v>
      </x:c>
      <x:c r="K71" s="231" t="n">
        <x:v>419</x:v>
      </x:c>
      <x:c r="L71" s="230" t="str">
        <x:v>leather boots ; sandals ; shoes ; footwear accessories ; leather goods</x:v>
      </x:c>
      <x:c r="M71" s="230" t="str">
        <x:v>En 1989 se graba por primera vez el sello de Panama Jack en unas botas. Nuestros productos destacan por su calidad, durabilidad y comodidad. Estamos orgullosos de nuestra producción local Made in Spain, desde el primer día.</x:v>
      </x:c>
      <x:c r="N71" s="230" t="str">
        <x:v>https://app.brandsearch.co/brand-analysis/panamajack.nl</x:v>
      </x:c>
    </x:row>
    <x:row r="72" ht="21" customHeight="1">
      <x:c r="A72" s="230" t="str">
        <x:v>ES</x:v>
      </x:c>
      <x:c r="B72" s="230" t="str">
        <x:v>www.floraqueen.de</x:v>
      </x:c>
      <x:c r="C72" s="230" t="str">
        <x:v>Other</x:v>
      </x:c>
      <x:c r="D72" s="231" t="n">
        <x:v>14643</x:v>
      </x:c>
      <x:c r="E72" s="231" t="n">
        <x:v>40</x:v>
      </x:c>
      <x:c r="F72" s="231" t="n">
        <x:v>0</x:v>
      </x:c>
      <x:c r="G72" s="232" t="n">
        <x:v>101.3</x:v>
      </x:c>
      <x:c r="H72" s="232" t="n">
        <x:f>G72/'Méthode'!$B$5</x:f>
        <x:v>88.58766943594229</x:v>
      </x:c>
      <x:c r="I72" s="232" t="n">
        <x:v>34.14</x:v>
      </x:c>
      <x:c r="J72" s="232" t="n">
        <x:v>188.3</x:v>
      </x:c>
      <x:c r="K72" s="231" t="n">
        <x:v>655</x:v>
      </x:c>
      <x:c r="L72" s="230" t="str">
        <x:v>flower bouquets ; flower arrangements ; romantic gifts ; gift sets ; flower subscriptions</x:v>
      </x:c>
      <x:c r="M72" s="230" t="str">
        <x:v>Flora Queen</x:v>
      </x:c>
      <x:c r="N72" s="230" t="str">
        <x:v>https://app.brandsearch.co/brand-analysis/floraqueen.de</x:v>
      </x:c>
    </x:row>
    <x:row r="73" ht="21" customHeight="1">
      <x:c r="A73" s="230" t="str">
        <x:v>ES</x:v>
      </x:c>
      <x:c r="B73" s="230" t="str">
        <x:v>www.delastore.com</x:v>
      </x:c>
      <x:c r="C73" s="230" t="str">
        <x:v>Fashion</x:v>
      </x:c>
      <x:c r="D73" s="231" t="n">
        <x:v>13612</x:v>
      </x:c>
      <x:c r="E73" s="231" t="n">
        <x:v>40</x:v>
      </x:c>
      <x:c r="F73" s="231" t="n">
        <x:v>0</x:v>
      </x:c>
      <x:c r="G73" s="232" t="n">
        <x:v>144.7</x:v>
      </x:c>
      <x:c r="H73" s="232" t="n">
        <x:f>G73/'Méthode'!$B$5</x:f>
        <x:v>126.54132050721469</x:v>
      </x:c>
      <x:c r="I73" s="232" t="n">
        <x:v>14</x:v>
      </x:c>
      <x:c r="J73" s="232" t="n">
        <x:v>3464</x:v>
      </x:c>
      <x:c r="K73" s="231" t="n">
        <x:v>1244</x:v>
      </x:c>
      <x:c r="L73" s="230" t="str">
        <x:v>streetwear clothing ; footwear ; sneakers ; sandals ; jackets ; accessories</x:v>
      </x:c>
      <x:c r="M73" s="230" t="str">
        <x:v>Dela Store San Sebastian compra las mejores marcas de streetwear y zapas, selección premium New Balance, Adidas Originals. Norse Projects, Carhartt WIP, Asics, Universal Works, Birkenstock, Keen, You Must Create, Goldwin, Gramicci, Red Wing, Clarks Originals, Blundstone, Gramicci, Converse</x:v>
      </x:c>
      <x:c r="N73" s="230" t="str">
        <x:v>https://app.brandsearch.co/brand-analysis/delastore.com</x:v>
      </x:c>
    </x:row>
    <x:row r="74" ht="21" customHeight="1">
      <x:c r="A74" s="230" t="str">
        <x:v>ES</x:v>
      </x:c>
      <x:c r="B74" s="230" t="str">
        <x:v>www.entornobano.com</x:v>
      </x:c>
      <x:c r="C74" s="230" t="str">
        <x:v>Home Decor</x:v>
      </x:c>
      <x:c r="D74" s="231" t="n">
        <x:v>13186</x:v>
      </x:c>
      <x:c r="E74" s="231" t="n">
        <x:v>40</x:v>
      </x:c>
      <x:c r="F74" s="231" t="n">
        <x:v>0</x:v>
      </x:c>
      <x:c r="G74" s="232" t="n">
        <x:v>412.05</x:v>
      </x:c>
      <x:c r="H74" s="232" t="n">
        <x:f>G74/'Méthode'!$B$5</x:f>
        <x:v>360.34105815478796</x:v>
      </x:c>
      <x:c r="I74" s="232" t="n">
        <x:v>5.7</x:v>
      </x:c>
      <x:c r="J74" s="232" t="n">
        <x:v>8085.22</x:v>
      </x:c>
      <x:c r="K74" s="231" t="n">
        <x:v>1404</x:v>
      </x:c>
      <x:c r="L74" s="230" t="str">
        <x:v>bathtubs ; showers ; sinks ; bathroom accessories ; faucets ; drainage components ; shower trays</x:v>
      </x:c>
      <x:c r="M74" s="230" t="str">
        <x:v>En Entorno Baño encontrarás los mejores productos para tu baño. Descubre nuestra amplia selección de bañeras exentas, platos de ducha, lavabos y accesorios de alta calidad para crear un ambiente relajante y con estilo en tu hogar. ¡Explora ahora nuestras opciones y haz de tu baño un espacio único!</x:v>
      </x:c>
      <x:c r="N74" s="230" t="str">
        <x:v>https://app.brandsearch.co/brand-analysis/entornobano.com</x:v>
      </x:c>
    </x:row>
    <x:row r="75" ht="21" customHeight="1">
      <x:c r="A75" s="230" t="str">
        <x:v>ES</x:v>
      </x:c>
      <x:c r="B75" s="230" t="str">
        <x:v>tallerescastor.com</x:v>
      </x:c>
      <x:c r="C75" s="230" t="str">
        <x:v>Home &amp; Garden</x:v>
      </x:c>
      <x:c r="D75" s="231" t="n">
        <x:v>11896</x:v>
      </x:c>
      <x:c r="E75" s="231" t="n">
        <x:v>40</x:v>
      </x:c>
      <x:c r="F75" s="231" t="n">
        <x:v>0</x:v>
      </x:c>
      <x:c r="G75" s="232" t="n">
        <x:v>401.75</x:v>
      </x:c>
      <x:c r="H75" s="232" t="n">
        <x:f>G75/'Méthode'!$B$5</x:f>
        <x:v>351.33362483602974</x:v>
      </x:c>
      <x:c r="I75" s="232" t="n">
        <x:v>1.14</x:v>
      </x:c>
      <x:c r="J75" s="232" t="n">
        <x:v>56071.42</x:v>
      </x:c>
      <x:c r="K75" s="231" t="n">
        <x:v>2000</x:v>
      </x:c>
      <x:c r="L75" s="230" t="str">
        <x:v>chainsaws ; brush cutters ; garden tillers ; oil and lubricants ; sprayers ; farming machinery ; accessories</x:v>
      </x:c>
      <x:c r="M75" s="230" t="str">
        <x:v>Todo lo que necesitas para tu finca, jardín y huerta. Compra Motosierras y Desbrozadoras de Stihl, Husqvarna y Anova al mejor PRECIO con envío GRATIS y el mejor asesoramiento</x:v>
      </x:c>
      <x:c r="N75" s="230" t="str">
        <x:v>https://app.brandsearch.co/brand-analysis/tallerescastor.com</x:v>
      </x:c>
    </x:row>
    <x:row r="76" ht="21" customHeight="1">
      <x:c r="A76" s="230" t="str">
        <x:v>ES</x:v>
      </x:c>
      <x:c r="B76" s="230" t="str">
        <x:v>www.panamajack.de</x:v>
      </x:c>
      <x:c r="C76" s="230" t="str">
        <x:v>Fashion</x:v>
      </x:c>
      <x:c r="D76" s="231" t="n">
        <x:v>11778</x:v>
      </x:c>
      <x:c r="E76" s="231" t="n">
        <x:v>40</x:v>
      </x:c>
      <x:c r="F76" s="231" t="n">
        <x:v>0</x:v>
      </x:c>
      <x:c r="G76" s="232" t="n">
        <x:v>197.23</x:v>
      </x:c>
      <x:c r="H76" s="232" t="n">
        <x:f>G76/'Méthode'!$B$5</x:f>
        <x:v>172.4792304328815</x:v>
      </x:c>
      <x:c r="I76" s="232" t="n">
        <x:v>44.54</x:v>
      </x:c>
      <x:c r="J76" s="232" t="n">
        <x:v>261.51</x:v>
      </x:c>
      <x:c r="K76" s="231" t="n">
        <x:v>418</x:v>
      </x:c>
      <x:c r="L76" s="230" t="str">
        <x:v>boots ; shoes ; footwear accessories ; leather footwear ; waterproof boots</x:v>
      </x:c>
      <x:c r="M76" s="230" t="str">
        <x:v>1989 entstehen die ersten Stiefel mit dem Markenzeichen von Panama Jack. Unsere Produkte zeichnen sich durch Qualität, Langlebigkeit und Komfort aus. Wir sind stolz auf unsere lokale Produktion, Made in Spain, vom ersten Tag an.</x:v>
      </x:c>
      <x:c r="N76" s="230" t="str">
        <x:v>https://app.brandsearch.co/brand-analysis/panamajack.de</x:v>
      </x:c>
    </x:row>
    <x:row r="77" ht="21" customHeight="1">
      <x:c r="A77" s="230" t="str">
        <x:v>ES</x:v>
      </x:c>
      <x:c r="B77" s="230" t="str">
        <x:v>www.summersnkrs.com</x:v>
      </x:c>
      <x:c r="C77" s="230" t="str">
        <x:v>Fashion</x:v>
      </x:c>
      <x:c r="D77" s="231" t="n">
        <x:v>10206</x:v>
      </x:c>
      <x:c r="E77" s="231" t="n">
        <x:v>40</x:v>
      </x:c>
      <x:c r="F77" s="231" t="n">
        <x:v>0</x:v>
      </x:c>
      <x:c r="G77" s="232" t="n">
        <x:v>314.27</x:v>
      </x:c>
      <x:c r="H77" s="232" t="n">
        <x:f>G77/'Méthode'!$B$5</x:f>
        <x:v>274.831657192829</x:v>
      </x:c>
      <x:c r="I77" s="232" t="n">
        <x:v>7.99</x:v>
      </x:c>
      <x:c r="J77" s="232" t="n">
        <x:v>1712.95</x:v>
      </x:c>
      <x:c r="K77" s="231" t="n">
        <x:v>2000</x:v>
      </x:c>
      <x:c r="L77" s="230" t="str">
        <x:v>sneakers ; streetwear ; athletic shoes ; vinyl collectibles ; limited edition apparel</x:v>
      </x:c>
      <x:c r="M77" s="230" t="str">
        <x:v>Breathable Summer Workout Set for Women</x:v>
      </x:c>
      <x:c r="N77" s="230" t="str">
        <x:v>https://app.brandsearch.co/brand-analysis/summersnkrs.com</x:v>
      </x:c>
    </x:row>
    <x:row r="78" ht="21" customHeight="1">
      <x:c r="A78" s="230" t="str">
        <x:v>ES</x:v>
      </x:c>
      <x:c r="B78" s="230" t="str">
        <x:v>traveltienda.es</x:v>
      </x:c>
      <x:c r="C78" s="230" t="str">
        <x:v>Fashion</x:v>
      </x:c>
      <x:c r="D78" s="231" t="n">
        <x:v>8871</x:v>
      </x:c>
      <x:c r="E78" s="231" t="n">
        <x:v>40</x:v>
      </x:c>
      <x:c r="F78" s="231" t="n">
        <x:v>0</x:v>
      </x:c>
      <x:c r="G78" s="232" t="n">
        <x:v>213.56</x:v>
      </x:c>
      <x:c r="H78" s="232" t="n">
        <x:f>G78/'Méthode'!$B$5</x:f>
        <x:v>186.75994752951465</x:v>
      </x:c>
      <x:c r="I78" s="232" t="n">
        <x:v>55.96</x:v>
      </x:c>
      <x:c r="J78" s="232" t="n">
        <x:v>605.24</x:v>
      </x:c>
      <x:c r="K78" s="231" t="n">
        <x:v>29</x:v>
      </x:c>
      <x:c r="L78" s="230" t="str">
        <x:v>suitcases ; carry-on luggage ; expandable luggage ; hard shell suitcases ; soft-sided luggage ; luggage accessories</x:v>
      </x:c>
      <x:c r="M78" s="230" t="str">
        <x:v>Tienda de maletas de viaje Samsonite, American Tourister y Roncato. Envío gratis en 24h, devoluciones gratis. Maletas de cabina al mejor precio.</x:v>
      </x:c>
      <x:c r="N78" s="230" t="str">
        <x:v>https://app.brandsearch.co/brand-analysis/traveltienda.es</x:v>
      </x:c>
    </x:row>
    <x:row r="79" ht="21" customHeight="1">
      <x:c r="A79" s="230" t="str">
        <x:v>ES</x:v>
      </x:c>
      <x:c r="B79" s="230" t="str">
        <x:v>www.gorillasports.es</x:v>
      </x:c>
      <x:c r="C79" s="230" t="str">
        <x:v>Sports &amp; Outdoors</x:v>
      </x:c>
      <x:c r="D79" s="231" t="n">
        <x:v>7431</x:v>
      </x:c>
      <x:c r="E79" s="231" t="n">
        <x:v>40</x:v>
      </x:c>
      <x:c r="F79" s="231" t="n">
        <x:v>0</x:v>
      </x:c>
      <x:c r="G79" s="232" t="n">
        <x:v>159.59</x:v>
      </x:c>
      <x:c r="H79" s="232" t="n">
        <x:f>G79/'Méthode'!$B$5</x:f>
        <x:v>139.5627459554001</x:v>
      </x:c>
      <x:c r="I79" s="232" t="n">
        <x:v>4.56</x:v>
      </x:c>
      <x:c r="J79" s="232" t="n">
        <x:v>3751.35</x:v>
      </x:c>
      <x:c r="K79" s="231" t="n">
        <x:v>474</x:v>
      </x:c>
      <x:c r="L79" s="230" t="str">
        <x:v>dumbbells ; weight plates ; yoga mats ; benches ; lifting belts ; weighted vests ; exercise accessories</x:v>
      </x:c>
      <x:c r="M79" s="230" t="str">
        <x:v>Compra equipamiento de fitness de alta calidad: pesas, bancos, máquinas y más para tu entrenamiento en casa o gimnasio. ¡Descúbrelo ahora!</x:v>
      </x:c>
      <x:c r="N79" s="230" t="str">
        <x:v>https://app.brandsearch.co/brand-analysis/gorillasports.es</x:v>
      </x:c>
    </x:row>
    <x:row r="80" ht="21" customHeight="1">
      <x:c r="A80" s="230" t="str">
        <x:v>ES</x:v>
      </x:c>
      <x:c r="B80" s="230" t="str">
        <x:v>cesaregaspari.eu</x:v>
      </x:c>
      <x:c r="C80" s="230" t="str">
        <x:v>Fashion</x:v>
      </x:c>
      <x:c r="D80" s="231" t="n">
        <x:v>5664</x:v>
      </x:c>
      <x:c r="E80" s="231" t="n">
        <x:v>40</x:v>
      </x:c>
      <x:c r="F80" s="231" t="n">
        <x:v>0</x:v>
      </x:c>
      <x:c r="G80" s="232" t="n">
        <x:v>128.65</x:v>
      </x:c>
      <x:c r="H80" s="232" t="n">
        <x:f>G80/'Méthode'!$B$5</x:f>
        <x:v>112.5054656755575</x:v>
      </x:c>
      <x:c r="I80" s="232" t="n">
        <x:v>26</x:v>
      </x:c>
      <x:c r="J80" s="232" t="n">
        <x:v>716</x:v>
      </x:c>
      <x:c r="K80" s="231" t="n">
        <x:v>1432</x:v>
      </x:c>
      <x:c r="L80" s="230" t="str">
        <x:v>coats ; jackets ; shoes ; boots ; sandals ; loafers ; winter outerwear</x:v>
      </x:c>
      <x:c r="M80" s="230" t="str">
        <x:v>Discover Cesare Gaspari's curated range of high-quality shoes and clothing. Step into luxury and style, where craftsmanship meets the latest trends. Shop now for a distinct fashion statement.</x:v>
      </x:c>
      <x:c r="N80" s="230" t="str">
        <x:v>https://app.brandsearch.co/brand-analysis/cesaregaspari.eu</x:v>
      </x:c>
    </x:row>
    <x:row r="81" ht="21" customHeight="1">
      <x:c r="A81" s="230" t="str">
        <x:v>ES</x:v>
      </x:c>
      <x:c r="B81" s="230" t="str">
        <x:v>www.popkite.com</x:v>
      </x:c>
      <x:c r="C81" s="230" t="str">
        <x:v>Sports &amp; Outdoors</x:v>
      </x:c>
      <x:c r="D81" s="231" t="n">
        <x:v>5342</x:v>
      </x:c>
      <x:c r="E81" s="231" t="n">
        <x:v>40</x:v>
      </x:c>
      <x:c r="F81" s="231" t="n">
        <x:v>0</x:v>
      </x:c>
      <x:c r="G81" s="232" t="n">
        <x:v>334.37</x:v>
      </x:c>
      <x:c r="H81" s="232" t="n">
        <x:f>G81/'Méthode'!$B$5</x:f>
        <x:v>292.40926978574555</x:v>
      </x:c>
      <x:c r="I81" s="232" t="n">
        <x:v>1.14</x:v>
      </x:c>
      <x:c r="J81" s="232" t="n">
        <x:v>8375.24</x:v>
      </x:c>
      <x:c r="K81" s="231" t="n">
        <x:v>2000</x:v>
      </x:c>
      <x:c r="L81" s="230" t="str">
        <x:v>kitesurfing gear ; wingsurfing equipment ; windsurfing gear ; surf skateboards ; neoprenos ; kiteboarding accessories ; pumps and repair kits ; gearbags</x:v>
      </x:c>
      <x:c r="M81" s="230" t="str">
        <x:v>Encuentra material técnico de Kitesurf, Wing Foil, Windsurf , E-foil y Surf. Más de 15 años de experiencia y asesoramiento técnico profesional. Envío 24h.</x:v>
      </x:c>
      <x:c r="N81" s="230" t="str">
        <x:v>https://app.brandsearch.co/brand-analysis/popkite.com</x:v>
      </x:c>
    </x:row>
    <x:row r="82" ht="21" customHeight="1">
      <x:c r="A82" s="230" t="str">
        <x:v>ES</x:v>
      </x:c>
      <x:c r="B82" s="230" t="str">
        <x:v>maniboom.es</x:v>
      </x:c>
      <x:c r="C82" s="230" t="str">
        <x:v>Sports &amp; Outdoors</x:v>
      </x:c>
      <x:c r="D82" s="231" t="n">
        <x:v>4298</x:v>
      </x:c>
      <x:c r="E82" s="231" t="n">
        <x:v>40</x:v>
      </x:c>
      <x:c r="F82" s="231" t="n">
        <x:v>0</x:v>
      </x:c>
      <x:c r="G82" s="232" t="n">
        <x:v>98.14</x:v>
      </x:c>
      <x:c r="H82" s="232" t="n">
        <x:f>G82/'Méthode'!$B$5</x:f>
        <x:v>85.82422387407084</x:v>
      </x:c>
      <x:c r="I82" s="232" t="n">
        <x:v>5.92</x:v>
      </x:c>
      <x:c r="J82" s="232" t="n">
        <x:v>695.54</x:v>
      </x:c>
      <x:c r="K82" s="231" t="n">
        <x:v>55</x:v>
      </x:c>
      <x:c r="L82" s="230" t="str">
        <x:v>adjustable dumbbells ; kettlebells ; barbells ; weight plates ; yoga mats ; fitness accessories ; home gym equipment</x:v>
      </x:c>
      <x:c r="M82" s="230" t="str">
        <x:v>Maniboom</x:v>
      </x:c>
      <x:c r="N82" s="230" t="str">
        <x:v>https://app.brandsearch.co/brand-analysis/maniboom.es</x:v>
      </x:c>
    </x:row>
    <x:row r="83" ht="21" customHeight="1">
      <x:c r="A83" s="230" t="str">
        <x:v>ES</x:v>
      </x:c>
      <x:c r="B83" s="230" t="str">
        <x:v>www.ememobiliario.es</x:v>
      </x:c>
      <x:c r="C83" s="230" t="str">
        <x:v>Home Decor</x:v>
      </x:c>
      <x:c r="D83" s="231" t="n">
        <x:v>4249</x:v>
      </x:c>
      <x:c r="E83" s="231" t="n">
        <x:v>40</x:v>
      </x:c>
      <x:c r="F83" s="231" t="n">
        <x:v>0</x:v>
      </x:c>
      <x:c r="G83" s="232" t="n">
        <x:v>440.74</x:v>
      </x:c>
      <x:c r="H83" s="232" t="n">
        <x:f>G83/'Méthode'!$B$5</x:f>
        <x:v>385.4306952339309</x:v>
      </x:c>
      <x:c r="I83" s="232" t="n">
        <x:v>0.42</x:v>
      </x:c>
      <x:c r="J83" s="232" t="n">
        <x:v>20510.16</x:v>
      </x:c>
      <x:c r="K83" s="231" t="n">
        <x:v>1043</x:v>
      </x:c>
      <x:c r="L83" s="230" t="str">
        <x:v>event furniture ; tables ; chairs ; decorative lighting ; tableware ; vases ; signage</x:v>
      </x:c>
      <x:c r="M83" s="230" t="str">
        <x:v>Especialistas en muebles para eventos. Amplio catálogo de mobiliario para catering y hostelería. Consulta nuestros productos online ✅</x:v>
      </x:c>
      <x:c r="N83" s="230" t="str">
        <x:v>https://app.brandsearch.co/brand-analysis/ememobiliario.es</x:v>
      </x:c>
    </x:row>
    <x:row r="84" ht="21" customHeight="1">
      <x:c r="A84" s="230" t="str">
        <x:v>ES</x:v>
      </x:c>
      <x:c r="B84" s="230" t="str">
        <x:v>prodison.es</x:v>
      </x:c>
      <x:c r="C84" s="230" t="str">
        <x:v>Other</x:v>
      </x:c>
      <x:c r="D84" s="231" t="n">
        <x:v>1380</x:v>
      </x:c>
      <x:c r="E84" s="231" t="n">
        <x:v>40</x:v>
      </x:c>
      <x:c r="F84" s="231" t="n">
        <x:v>0</x:v>
      </x:c>
      <x:c r="G84" s="232" t="n">
        <x:v>147.71</x:v>
      </x:c>
      <x:c r="H84" s="232" t="n">
        <x:f>G84/'Méthode'!$B$5</x:f>
        <x:v>129.17358985570618</x:v>
      </x:c>
      <x:c r="I84" s="232" t="n">
        <x:v>11.43</x:v>
      </x:c>
      <x:c r="J84" s="232" t="n">
        <x:v>6770.57</x:v>
      </x:c>
      <x:c r="K84" s="231" t="n">
        <x:v>2000</x:v>
      </x:c>
      <x:c r="L84" s="230" t="str">
        <x:v>power tools ; hand tools ; garage equipment ; construction supplies ; workshop furniture ; safety gear ; tool accessories</x:v>
      </x:c>
      <x:c r="M84" s="230" t="str">
        <x:v>Equipamos tu taller Más de 7.000 soluciones, un solo clic.</x:v>
      </x:c>
      <x:c r="N84" s="230" t="str">
        <x:v>https://app.brandsearch.co/brand-analysis/prodison.es</x:v>
      </x:c>
    </x:row>
    <x:row r="85" ht="21" customHeight="1">
      <x:c r="A85" s="230" t="str">
        <x:v>ES</x:v>
      </x:c>
      <x:c r="B85" s="230" t="str">
        <x:v>www.wineworldtasters.com</x:v>
      </x:c>
      <x:c r="C85" s="230" t="str">
        <x:v>Food &amp; Drink</x:v>
      </x:c>
      <x:c r="D85" s="231" t="n">
        <x:v>1316</x:v>
      </x:c>
      <x:c r="E85" s="231" t="n">
        <x:v>40</x:v>
      </x:c>
      <x:c r="F85" s="231" t="n">
        <x:v>0</x:v>
      </x:c>
      <x:c r="G85" s="232" t="n">
        <x:v>190.72</x:v>
      </x:c>
      <x:c r="H85" s="232" t="n">
        <x:f>G85/'Méthode'!$B$5</x:f>
        <x:v>166.78618277219064</x:v>
      </x:c>
      <x:c r="I85" s="232" t="n">
        <x:v>20</x:v>
      </x:c>
      <x:c r="J85" s="232" t="n">
        <x:v>1710</x:v>
      </x:c>
      <x:c r="K85" s="231" t="n">
        <x:v>137</x:v>
      </x:c>
      <x:c r="L85" s="230" t="str">
        <x:v>wine aroma kits ; wine tasting accessories ; wine glasses ; decanters ; wine tasting sets</x:v>
      </x:c>
      <x:c r="M85" s="230" t="str">
        <x:v>Discover premium wine aroma training kits, handblown Josephine &amp; Riedel glassware, and luxury wine accessories from L'Atelier du Vin and Coravin. Worldwide shipping. 60-day returns.</x:v>
      </x:c>
      <x:c r="N85" s="230" t="str">
        <x:v>https://app.brandsearch.co/brand-analysis/wineworldtasters.com</x:v>
      </x:c>
    </x:row>
    <x:row r="86" ht="21" customHeight="1">
      <x:c r="A86" s="230" t="str">
        <x:v>ES</x:v>
      </x:c>
      <x:c r="B86" s="230" t="str">
        <x:v>www.linenatura.es</x:v>
      </x:c>
      <x:c r="C86" s="230" t="str">
        <x:v>Beauty &amp; Skincare</x:v>
      </x:c>
      <x:c r="D86" s="231" t="n">
        <x:v>880</x:v>
      </x:c>
      <x:c r="E86" s="231" t="n">
        <x:v>40</x:v>
      </x:c>
      <x:c r="F86" s="231" t="n">
        <x:v>0</x:v>
      </x:c>
      <x:c r="G86" s="232" t="n">
        <x:v>163.32</x:v>
      </x:c>
      <x:c r="H86" s="232" t="n">
        <x:f>G86/'Méthode'!$B$5</x:f>
        <x:v>142.82466112811542</x:v>
      </x:c>
      <x:c r="I86" s="232" t="n">
        <x:v>0.06</x:v>
      </x:c>
      <x:c r="J86" s="232" t="n">
        <x:v>96607.97</x:v>
      </x:c>
      <x:c r="K86" s="231" t="n">
        <x:v>2000</x:v>
      </x:c>
      <x:c r="L86" s="230" t="str">
        <x:v>artisanal soaps ; incense sticks ; spiritual jewelry ; decorative candles ; meditation accessories ; home decor items ; gifts and wellness products</x:v>
      </x:c>
      <x:c r="M86" s="230" t="str">
        <x:v>Productos para el día a día hechos con mucho amor: Productos Artesanales y Ecológicos, Meditación y Bienestar, Salud y Belleza, Hogar y Decoración y todo lo que necesitas para tu vida diaria. Beauty Beyond Profit.</x:v>
      </x:c>
      <x:c r="N86" s="230" t="str">
        <x:v>https://app.brandsearch.co/brand-analysis/linenatura.es</x:v>
      </x:c>
    </x:row>
    <x:row r="87" ht="21" customHeight="1">
      <x:c r="A87" s="230" t="str">
        <x:v>ES</x:v>
      </x:c>
      <x:c r="B87" s="230" t="str">
        <x:v>indiamonamour.shop</x:v>
      </x:c>
      <x:c r="C87" s="230" t="str">
        <x:v>Fashion</x:v>
      </x:c>
      <x:c r="D87" s="231" t="n">
        <x:v>559</x:v>
      </x:c>
      <x:c r="E87" s="231" t="n">
        <x:v>40</x:v>
      </x:c>
      <x:c r="F87" s="231" t="n">
        <x:v>0</x:v>
      </x:c>
      <x:c r="G87" s="232" t="n">
        <x:v>136.53</x:v>
      </x:c>
      <x:c r="H87" s="232" t="n">
        <x:f>G87/'Méthode'!$B$5</x:f>
        <x:v>119.39658941845212</x:v>
      </x:c>
      <x:c r="I87" s="232" t="n">
        <x:v>3.72</x:v>
      </x:c>
      <x:c r="J87" s="232" t="n">
        <x:v>467.16</x:v>
      </x:c>
      <x:c r="K87" s="231" t="n">
        <x:v>669</x:v>
      </x:c>
      <x:c r="L87" s="230" t="str">
        <x:v>clothing ; accessories ; stationery ; bags ; shoes</x:v>
      </x:c>
      <x:c r="M87" s="230" t="str">
        <x:v>India mon amour, Sitges concept store. Tienda de ropa, accesorios, papelería y decoración multimarca con una selección muy mimada de productos y calidades. Algunas de nuestras marcas son Masscob, Veja, Soeur Paris, Les Coyotes de Paris, Mint &amp; Rose, Heylove Barcelona, Bellerose... Use discount code cc4d2005</x:v>
      </x:c>
      <x:c r="N87" s="230" t="str">
        <x:v>https://app.brandsearch.co/brand-analysis/indiamonamour.shop</x:v>
      </x:c>
    </x:row>
    <x:row r="88" ht="21" customHeight="1">
      <x:c r="A88" s="230" t="str">
        <x:v>FR</x:v>
      </x:c>
      <x:c r="B88" s="230" t="str">
        <x:v>www.shark-helmets.com</x:v>
      </x:c>
      <x:c r="C88" s="230" t="str">
        <x:v>Automotive</x:v>
      </x:c>
      <x:c r="D88" s="231" t="n">
        <x:v>174392</x:v>
      </x:c>
      <x:c r="E88" s="231" t="n">
        <x:v>40</x:v>
      </x:c>
      <x:c r="F88" s="231" t="n">
        <x:v>0</x:v>
      </x:c>
      <x:c r="G88" s="232" t="n">
        <x:v>437.59</x:v>
      </x:c>
      <x:c r="H88" s="232" t="n">
        <x:f>G88/'Méthode'!$B$5</x:f>
        <x:v>382.67599475295145</x:v>
      </x:c>
      <x:c r="I88" s="232" t="n">
        <x:v>32.43</x:v>
      </x:c>
      <x:c r="J88" s="232" t="n">
        <x:v>1370.35</x:v>
      </x:c>
      <x:c r="K88" s="231" t="n">
        <x:v>415</x:v>
      </x:c>
      <x:c r="L88" s="230" t="str">
        <x:v>motorcycle helmets ; helmet visors ; helmet accessories ; helmet parts ; helmet visors with tint and iridium coatings</x:v>
      </x:c>
      <x:c r="M88" s="230" t="str">
        <x:v>Des casques créés pour les pilotes par les pilotes. Depuis sa création, la marque accompagne et protège les plus grands pilotes au niveau international.</x:v>
      </x:c>
      <x:c r="N88" s="230" t="str">
        <x:v>https://app.brandsearch.co/brand-analysis/shark-helmets.com</x:v>
      </x:c>
    </x:row>
    <x:row r="89" ht="21" customHeight="1">
      <x:c r="A89" s="230" t="str">
        <x:v>FR</x:v>
      </x:c>
      <x:c r="B89" s="230" t="str">
        <x:v>lagreentouch.fr</x:v>
      </x:c>
      <x:c r="C89" s="230" t="str">
        <x:v>Home &amp; Garden</x:v>
      </x:c>
      <x:c r="D89" s="231" t="n">
        <x:v>131998</x:v>
      </x:c>
      <x:c r="E89" s="231" t="n">
        <x:v>40</x:v>
      </x:c>
      <x:c r="F89" s="231" t="n">
        <x:v>0</x:v>
      </x:c>
      <x:c r="G89" s="232" t="n">
        <x:v>118.01</x:v>
      </x:c>
      <x:c r="H89" s="232" t="n">
        <x:f>G89/'Méthode'!$B$5</x:f>
        <x:v>103.20069960647137</x:v>
      </x:c>
      <x:c r="I89" s="232" t="n">
        <x:v>3.43</x:v>
      </x:c>
      <x:c r="J89" s="232" t="n">
        <x:v>1465.13</x:v>
      </x:c>
      <x:c r="K89" s="231" t="n">
        <x:v>2000</x:v>
      </x:c>
      <x:c r="L89" s="230" t="str">
        <x:v>indoor plants ; terrariums ; plant accessories ; plant gift sets ; plant care kits</x:v>
      </x:c>
      <x:c r="M89" s="230" t="str">
        <x:v>Livraison de plantes d'intérieur en direct producteur facile d'entretien, pour décorer votre intérieur ou offrir un cadeau durable</x:v>
      </x:c>
      <x:c r="N89" s="230" t="str">
        <x:v>https://app.brandsearch.co/brand-analysis/lagreentouch.fr</x:v>
      </x:c>
    </x:row>
    <x:row r="90" ht="21" customHeight="1">
      <x:c r="A90" s="230" t="str">
        <x:v>FR</x:v>
      </x:c>
      <x:c r="B90" s="230" t="str">
        <x:v>moddys-watches.com</x:v>
      </x:c>
      <x:c r="C90" s="230" t="str">
        <x:v>Fashion</x:v>
      </x:c>
      <x:c r="D90" s="231" t="n">
        <x:v>108284</x:v>
      </x:c>
      <x:c r="E90" s="231" t="n">
        <x:v>40</x:v>
      </x:c>
      <x:c r="F90" s="231" t="n">
        <x:v>0</x:v>
      </x:c>
      <x:c r="G90" s="232" t="n">
        <x:v>347.74</x:v>
      </x:c>
      <x:c r="H90" s="232" t="n">
        <x:f>G90/'Méthode'!$B$5</x:f>
        <x:v>304.1014429383472</x:v>
      </x:c>
      <x:c r="I90" s="232" t="n">
        <x:v>9.9</x:v>
      </x:c>
      <x:c r="J90" s="232" t="n">
        <x:v>420</x:v>
      </x:c>
      <x:c r="K90" s="231" t="n">
        <x:v>163</x:v>
      </x:c>
      <x:c r="L90" s="230" t="str">
        <x:v>custom watches ; watch configurators ; watch accessories ; warranty extensions ; water resistance upgrades</x:v>
      </x:c>
      <x:c r="M90" s="230" t="str">
        <x:v>Explore our range of Seiko Mods at Moddy´s Custom Watches. Elevate your style with personalized dials, premium materials, and iconic designs like Seiko Nautilus, Royal Oak, Datejust. Create your own unique timepiece and make a statement today! International shipping available. Hand-assembled mods by skilled artisans.</x:v>
      </x:c>
      <x:c r="N90" s="230" t="str">
        <x:v>https://app.brandsearch.co/brand-analysis/moddys-watches.com</x:v>
      </x:c>
    </x:row>
    <x:row r="91" ht="21" customHeight="1">
      <x:c r="A91" s="230" t="str">
        <x:v>FR</x:v>
      </x:c>
      <x:c r="B91" s="230" t="str">
        <x:v>psbwatches.com</x:v>
      </x:c>
      <x:c r="C91" s="230" t="str">
        <x:v>Fashion</x:v>
      </x:c>
      <x:c r="D91" s="231" t="n">
        <x:v>93970</x:v>
      </x:c>
      <x:c r="E91" s="231" t="n">
        <x:v>40</x:v>
      </x:c>
      <x:c r="F91" s="231" t="n">
        <x:v>0</x:v>
      </x:c>
      <x:c r="G91" s="232" t="n">
        <x:v>171.43</x:v>
      </x:c>
      <x:c r="H91" s="232" t="n">
        <x:f>G91/'Méthode'!$B$5</x:f>
        <x:v>149.91692173152603</x:v>
      </x:c>
      <x:c r="I91" s="232" t="n">
        <x:v>6</x:v>
      </x:c>
      <x:c r="J91" s="232" t="n">
        <x:v>4698</x:v>
      </x:c>
      <x:c r="K91" s="231" t="n">
        <x:v>2000</x:v>
      </x:c>
      <x:c r="L91" s="230" t="str">
        <x:v>watches ; watch accessories ; watch straps ; watch batteries ; watch cases</x:v>
      </x:c>
      <x:c r="M91" s="230" t="str">
        <x:v>Discover PSB WATCHES, your online store for Seiko, Orient, Casio, Citizen watches and many others. Fast delivery and reduced prices to enhance your wrist.</x:v>
      </x:c>
      <x:c r="N91" s="230" t="str">
        <x:v>https://app.brandsearch.co/brand-analysis/psbwatches.com</x:v>
      </x:c>
    </x:row>
    <x:row r="92" ht="21" customHeight="1">
      <x:c r="A92" s="230" t="str">
        <x:v>FR</x:v>
      </x:c>
      <x:c r="B92" s="230" t="str">
        <x:v>www.rcb-scooter.com</x:v>
      </x:c>
      <x:c r="C92" s="230" t="str">
        <x:v>Automotive</x:v>
      </x:c>
      <x:c r="D92" s="231" t="n">
        <x:v>88611</x:v>
      </x:c>
      <x:c r="E92" s="231" t="n">
        <x:v>40</x:v>
      </x:c>
      <x:c r="F92" s="231" t="n">
        <x:v>0</x:v>
      </x:c>
      <x:c r="G92" s="232" t="n">
        <x:v>320.93</x:v>
      </x:c>
      <x:c r="H92" s="232" t="n">
        <x:f>G92/'Méthode'!$B$5</x:f>
        <x:v>280.6558810668999</x:v>
      </x:c>
      <x:c r="I92" s="232" t="n">
        <x:v>11.42</x:v>
      </x:c>
      <x:c r="J92" s="232" t="n">
        <x:v>1712.96</x:v>
      </x:c>
      <x:c r="K92" s="231" t="n">
        <x:v>64</x:v>
      </x:c>
      <x:c r="L92" s="230" t="str">
        <x:v>electric scooters ; electric bikes ; children's motorcycles ; electric dirt bikes ; accessories</x:v>
      </x:c>
      <x:c r="M92" s="230" t="str">
        <x:v>RCB is a modern and well-known brand dedicated to producing modern and high-quality smart mobility tools, including lithium-ion bicycles, electric scooters and children's motorcycles. RCB D7 PRO ABE, RCB D7 ABE, RCB EV85F ABE, RCB EV10Z ABE, RCB EV10K PRO ABE, RCB R10S, RCB R17, RCB R19, RCB RK15, RCB RK6S, RCB RK8S..</x:v>
      </x:c>
      <x:c r="N92" s="230" t="str">
        <x:v>https://app.brandsearch.co/brand-analysis/rcb-scooter.com</x:v>
      </x:c>
    </x:row>
    <x:row r="93" ht="21" customHeight="1">
      <x:c r="A93" s="230" t="str">
        <x:v>FR</x:v>
      </x:c>
      <x:c r="B93" s="230" t="str">
        <x:v>wondermural.com</x:v>
      </x:c>
      <x:c r="C93" s="230" t="str">
        <x:v>Home &amp; Garden</x:v>
      </x:c>
      <x:c r="D93" s="231" t="n">
        <x:v>74043</x:v>
      </x:c>
      <x:c r="E93" s="231" t="n">
        <x:v>40</x:v>
      </x:c>
      <x:c r="F93" s="231" t="n">
        <x:v>0</x:v>
      </x:c>
      <x:c r="G93" s="232" t="n">
        <x:v>446.38</x:v>
      </x:c>
      <x:c r="H93" s="232" t="n">
        <x:f>G93/'Méthode'!$B$5</x:f>
        <x:v>390.3629208570179</x:v>
      </x:c>
      <x:c r="I93" s="232" t="n">
        <x:v>2</x:v>
      </x:c>
      <x:c r="J93" s="232" t="n">
        <x:v>614453</x:v>
      </x:c>
      <x:c r="K93" s="231" t="n">
        <x:v>2000</x:v>
      </x:c>
      <x:c r="L93" s="230" t="str">
        <x:v>wall murals ; wallpapers ; kids room decor ; decorative wall art ; custom murals</x:v>
      </x:c>
      <x:c r="M93" s="230" t="str">
        <x:v>WonderMural</x:v>
      </x:c>
      <x:c r="N93" s="230" t="str">
        <x:v>https://app.brandsearch.co/brand-analysis/wondermural.com</x:v>
      </x:c>
    </x:row>
    <x:row r="94" ht="21" customHeight="1">
      <x:c r="A94" s="230" t="str">
        <x:v>FR</x:v>
      </x:c>
      <x:c r="B94" s="230" t="str">
        <x:v>www.blackview.fr</x:v>
      </x:c>
      <x:c r="C94" s="230" t="str">
        <x:v>Electronics &amp; Tech</x:v>
      </x:c>
      <x:c r="D94" s="231" t="n">
        <x:v>57591</x:v>
      </x:c>
      <x:c r="E94" s="231" t="n">
        <x:v>40</x:v>
      </x:c>
      <x:c r="F94" s="231" t="n">
        <x:v>0</x:v>
      </x:c>
      <x:c r="G94" s="232" t="n">
        <x:v>197.02</x:v>
      </x:c>
      <x:c r="H94" s="232" t="n">
        <x:f>G94/'Méthode'!$B$5</x:f>
        <x:v>172.29558373414955</x:v>
      </x:c>
      <x:c r="I94" s="232" t="n">
        <x:v>9.63</x:v>
      </x:c>
      <x:c r="J94" s="232" t="n">
        <x:v>965.07</x:v>
      </x:c>
      <x:c r="K94" s="231" t="n">
        <x:v>125</x:v>
      </x:c>
      <x:c r="L94" s="230" t="str">
        <x:v>smartphones ; smartphones accessories ; tablets ; smartwatch ; thermal camera smartphones ; rugged phones ; wireless earbuds ; wireless keyboards</x:v>
      </x:c>
      <x:c r="M94" s="230" t="str">
        <x:v>Boutique officielle Blackview France. Smartphones robustes, tablettes durcies et montres connectées. Livraison depuis la France, garantie 2 ans, SAV français.</x:v>
      </x:c>
      <x:c r="N94" s="230" t="str">
        <x:v>https://app.brandsearch.co/brand-analysis/blackview.fr</x:v>
      </x:c>
    </x:row>
    <x:row r="95" ht="21" customHeight="1">
      <x:c r="A95" s="230" t="str">
        <x:v>FR</x:v>
      </x:c>
      <x:c r="B95" s="230" t="str">
        <x:v>www.lemondedubain.com</x:v>
      </x:c>
      <x:c r="C95" s="230" t="str">
        <x:v>Home Decor</x:v>
      </x:c>
      <x:c r="D95" s="231" t="n">
        <x:v>55560</x:v>
      </x:c>
      <x:c r="E95" s="231" t="n">
        <x:v>40</x:v>
      </x:c>
      <x:c r="F95" s="231" t="n">
        <x:v>0</x:v>
      </x:c>
      <x:c r="G95" s="232" t="n">
        <x:v>452.84</x:v>
      </x:c>
      <x:c r="H95" s="232" t="n">
        <x:f>G95/'Méthode'!$B$5</x:f>
        <x:v>396.0122431132488</x:v>
      </x:c>
      <x:c r="I95" s="232" t="n">
        <x:v>15.98</x:v>
      </x:c>
      <x:c r="J95" s="232" t="n">
        <x:v>1427.46</x:v>
      </x:c>
      <x:c r="K95" s="231" t="n">
        <x:v>1458</x:v>
      </x:c>
      <x:c r="L95" s="230" t="str">
        <x:v>shower trays ; bathroom sinks ; drain covers ; bathtubs ; bathroom accessories</x:v>
      </x:c>
      <x:c r="M95" s="230" t="str">
        <x:v>Vente en ligne et en magasin spécialisé d’articles de salle de bain pour tous les styles. Consultez notre gamme de produits rétros et modernes.</x:v>
      </x:c>
      <x:c r="N95" s="230" t="str">
        <x:v>https://app.brandsearch.co/brand-analysis/lemondedubain.com</x:v>
      </x:c>
    </x:row>
    <x:row r="96" ht="21" customHeight="1">
      <x:c r="A96" s="230" t="str">
        <x:v>FR</x:v>
      </x:c>
      <x:c r="B96" s="230" t="str">
        <x:v>lioninox.com</x:v>
      </x:c>
      <x:c r="C96" s="230" t="str">
        <x:v>Kitchen</x:v>
      </x:c>
      <x:c r="D96" s="231" t="n">
        <x:v>32244</x:v>
      </x:c>
      <x:c r="E96" s="231" t="n">
        <x:v>40</x:v>
      </x:c>
      <x:c r="F96" s="231" t="n">
        <x:v>0</x:v>
      </x:c>
      <x:c r="G96" s="232" t="n">
        <x:v>263.01</x:v>
      </x:c>
      <x:c r="H96" s="232" t="n">
        <x:f>G96/'Méthode'!$B$5</x:f>
        <x:v>230.00437254044598</x:v>
      </x:c>
      <x:c r="I96" s="232" t="n">
        <x:v>1.14</x:v>
      </x:c>
      <x:c r="J96" s="232" t="n">
        <x:v>10147.93</x:v>
      </x:c>
      <x:c r="K96" s="231" t="n">
        <x:v>2000</x:v>
      </x:c>
      <x:c r="L96" s="230" t="str">
        <x:v>stainless steel kitchen equipment ; commercial sinks ; kitchen faucets ; dispenser systems ; restaurant fixtures ; industrial kitchen accessories</x:v>
      </x:c>
      <x:c r="M96" s="230" t="str">
        <x:v>Matériel inox haut de gamme pour cuisines pros, boucheries et restaurants. Livraison rapide et remises pour revendeurs. Découvrez Lioninox.</x:v>
      </x:c>
      <x:c r="N96" s="230" t="str">
        <x:v>https://app.brandsearch.co/brand-analysis/lioninox.com</x:v>
      </x:c>
    </x:row>
    <x:row r="97" ht="21" customHeight="1">
      <x:c r="A97" s="230" t="str">
        <x:v>FR</x:v>
      </x:c>
      <x:c r="B97" s="230" t="str">
        <x:v>plaquedeces.fr</x:v>
      </x:c>
      <x:c r="C97" s="230" t="str">
        <x:v>Home Decor</x:v>
      </x:c>
      <x:c r="D97" s="231" t="n">
        <x:v>24381</x:v>
      </x:c>
      <x:c r="E97" s="231" t="n">
        <x:v>40</x:v>
      </x:c>
      <x:c r="F97" s="231" t="n">
        <x:v>0</x:v>
      </x:c>
      <x:c r="G97" s="232" t="n">
        <x:v>100.71</x:v>
      </x:c>
      <x:c r="H97" s="232" t="n">
        <x:f>G97/'Méthode'!$B$5</x:f>
        <x:v>88.07170966331438</x:v>
      </x:c>
      <x:c r="I97" s="232" t="n">
        <x:v>1.14</x:v>
      </x:c>
      <x:c r="J97" s="232" t="n">
        <x:v>236.39</x:v>
      </x:c>
      <x:c r="K97" s="231" t="n">
        <x:v>773</x:v>
      </x:c>
      <x:c r="L97" s="230" t="str">
        <x:v>personalized memorial plaques ; granite plaques ; marble plaques ; plexiglas plaques ; funeral medallions</x:v>
      </x:c>
      <x:c r="M97" s="230" t="str">
        <x:v>Choisissez parmi nos plaques funéraires personnalisées en granit, plexiglas ou marbre. Créations uniques, résistantes aux intempéries. Livraison express 24h et garantie 20 ans. Hommage durable et élégant à petit prix.</x:v>
      </x:c>
      <x:c r="N97" s="230" t="str">
        <x:v>https://app.brandsearch.co/brand-analysis/plaquedeces.fr</x:v>
      </x:c>
    </x:row>
    <x:row r="98" ht="21" customHeight="1">
      <x:c r="A98" s="230" t="str">
        <x:v>FR</x:v>
      </x:c>
      <x:c r="B98" s="230" t="str">
        <x:v>www.doogeeshop.fr</x:v>
      </x:c>
      <x:c r="C98" s="230" t="str">
        <x:v>Electronics &amp; Tech</x:v>
      </x:c>
      <x:c r="D98" s="231" t="n">
        <x:v>23962</x:v>
      </x:c>
      <x:c r="E98" s="231" t="n">
        <x:v>40</x:v>
      </x:c>
      <x:c r="F98" s="231" t="n">
        <x:v>0</x:v>
      </x:c>
      <x:c r="G98" s="232" t="n">
        <x:v>330.58</x:v>
      </x:c>
      <x:c r="H98" s="232" t="n">
        <x:f>G98/'Méthode'!$B$5</x:f>
        <x:v>289.0948841276782</x:v>
      </x:c>
      <x:c r="I98" s="232" t="n">
        <x:v>114.08</x:v>
      </x:c>
      <x:c r="J98" s="232" t="n">
        <x:v>947.73</x:v>
      </x:c>
      <x:c r="K98" s="231" t="n">
        <x:v>53</x:v>
      </x:c>
      <x:c r="L98" s="230" t="str">
        <x:v>rugged smartphones ; protective phone cases ; tablet devices ; phone accessories</x:v>
      </x:c>
      <x:c r="M98" s="230" t="str">
        <x:v>Doogee propose une sélection remarquable de smartphones et tablettes résistants aux chocs et étanches.</x:v>
      </x:c>
      <x:c r="N98" s="230" t="str">
        <x:v>https://app.brandsearch.co/brand-analysis/doogeeshop.fr</x:v>
      </x:c>
    </x:row>
    <x:row r="99" ht="21" customHeight="1">
      <x:c r="A99" s="230" t="str">
        <x:v>FR</x:v>
      </x:c>
      <x:c r="B99" s="230" t="str">
        <x:v>triathlonstore.fr</x:v>
      </x:c>
      <x:c r="C99" s="230" t="str">
        <x:v>Sports &amp; Outdoors</x:v>
      </x:c>
      <x:c r="D99" s="231" t="n">
        <x:v>22726</x:v>
      </x:c>
      <x:c r="E99" s="231" t="n">
        <x:v>40</x:v>
      </x:c>
      <x:c r="F99" s="231" t="n">
        <x:v>0</x:v>
      </x:c>
      <x:c r="G99" s="232" t="n">
        <x:v>367.42</x:v>
      </x:c>
      <x:c r="H99" s="232" t="n">
        <x:f>G99/'Méthode'!$B$5</x:f>
        <x:v>321.3117621337998</x:v>
      </x:c>
      <x:c r="I99" s="232" t="n">
        <x:v>1.14</x:v>
      </x:c>
      <x:c r="J99" s="232" t="n">
        <x:v>17699.52</x:v>
      </x:c>
      <x:c r="K99" s="231" t="n">
        <x:v>2000</x:v>
      </x:c>
      <x:c r="L99" s="230" t="str">
        <x:v>triathlon gear ; nutrition gels ; cycling accessories ; running apparel ; performance watches ; training equipment</x:v>
      </x:c>
      <x:c r="M99" s="230" t="str">
        <x:v>3 disciplines extrêmement complètes qui permettent d'améliorer endurance, force et technique. Équipez-vous avec le meilleur matériel pour la natation, le cyclisme et la course à pied, et bénéficiez de conseils d'experts pour optimiser vos performances.</x:v>
      </x:c>
      <x:c r="N99" s="230" t="str">
        <x:v>https://app.brandsearch.co/brand-analysis/triathlonstore.fr</x:v>
      </x:c>
    </x:row>
    <x:row r="100" ht="21" customHeight="1">
      <x:c r="A100" s="230" t="str">
        <x:v>FR</x:v>
      </x:c>
      <x:c r="B100" s="230" t="str">
        <x:v>www.leonandharper.com</x:v>
      </x:c>
      <x:c r="C100" s="230" t="str">
        <x:v>Fashion</x:v>
      </x:c>
      <x:c r="D100" s="231" t="n">
        <x:v>21350</x:v>
      </x:c>
      <x:c r="E100" s="231" t="n">
        <x:v>40</x:v>
      </x:c>
      <x:c r="F100" s="231" t="n">
        <x:v>0</x:v>
      </x:c>
      <x:c r="G100" s="232" t="n">
        <x:v>129.75</x:v>
      </x:c>
      <x:c r="H100" s="232" t="n">
        <x:f>G100/'Méthode'!$B$5</x:f>
        <x:v>113.4674245736773</x:v>
      </x:c>
      <x:c r="I100" s="232" t="n">
        <x:v>1.14</x:v>
      </x:c>
      <x:c r="J100" s="232" t="n">
        <x:v>570.98</x:v>
      </x:c>
      <x:c r="K100" s="231" t="n">
        <x:v>710</x:v>
      </x:c>
      <x:c r="L100" s="230" t="str">
        <x:v>dresses ; tops ; skirts ; accessories ; sandals ; sweatshirts ; cardigans ; blouses</x:v>
      </x:c>
      <x:c r="M100" s="230" t="str">
        <x:v>Leon &amp; Harper, une mode pop et éclairée pour les filles ambitieuses. Laissez-vous séduire par notre univers. Livraison offerte à partir de 90€</x:v>
      </x:c>
      <x:c r="N100" s="230" t="str">
        <x:v>https://app.brandsearch.co/brand-analysis/leonandharper.com</x:v>
      </x:c>
    </x:row>
    <x:row r="101" ht="21" customHeight="1">
      <x:c r="A101" s="230" t="str">
        <x:v>FR</x:v>
      </x:c>
      <x:c r="B101" s="230" t="str">
        <x:v>tempka.com</x:v>
      </x:c>
      <x:c r="C101" s="230" t="str">
        <x:v>Fashion</x:v>
      </x:c>
      <x:c r="D101" s="231" t="n">
        <x:v>19276</x:v>
      </x:c>
      <x:c r="E101" s="231" t="n">
        <x:v>40</x:v>
      </x:c>
      <x:c r="F101" s="231" t="n">
        <x:v>0</x:v>
      </x:c>
      <x:c r="G101" s="232" t="n">
        <x:v>185.12</x:v>
      </x:c>
      <x:c r="H101" s="232" t="n">
        <x:f>G101/'Méthode'!$B$5</x:f>
        <x:v>161.88893747267164</x:v>
      </x:c>
      <x:c r="I101" s="232" t="n">
        <x:v>3.43</x:v>
      </x:c>
      <x:c r="J101" s="232" t="n">
        <x:v>3425.82</x:v>
      </x:c>
      <x:c r="K101" s="231" t="n">
        <x:v>2000</x:v>
      </x:c>
      <x:c r="L101" s="230" t="str">
        <x:v>watches ; jewelry ; bags ; accessories</x:v>
      </x:c>
      <x:c r="M101" s="230" t="str">
        <x:v>Tempka.com - Montres, bijoux et sacs tendances pour homme et femme : Plus de 50 marques telles que Tommy Hilfiger, Fossil, Lacoste, Daniel Wellington, Seiko, Chiara Ferragni, Maserati, Boss, Montignac, Lip, Garmin, Michel Herbelin, Casio, Pierre Lannier, Cerruti, G-Shock et bien d'autres...</x:v>
      </x:c>
      <x:c r="N101" s="230" t="str">
        <x:v>https://app.brandsearch.co/brand-analysis/tempka.com</x:v>
      </x:c>
    </x:row>
    <x:row r="102" ht="21" customHeight="1">
      <x:c r="A102" s="230" t="str">
        <x:v>FR</x:v>
      </x:c>
      <x:c r="B102" s="230" t="str">
        <x:v>titanecook.com</x:v>
      </x:c>
      <x:c r="C102" s="230" t="str">
        <x:v>Home &amp; Garden</x:v>
      </x:c>
      <x:c r="D102" s="231" t="n">
        <x:v>17555</x:v>
      </x:c>
      <x:c r="E102" s="231" t="n">
        <x:v>40</x:v>
      </x:c>
      <x:c r="F102" s="231" t="n">
        <x:v>0</x:v>
      </x:c>
      <x:c r="G102" s="232" t="n">
        <x:v>119.28</x:v>
      </x:c>
      <x:c r="H102" s="232" t="n">
        <x:f>G102/'Méthode'!$B$5</x:f>
        <x:v>104.31132487975515</x:v>
      </x:c>
      <x:c r="I102" s="232" t="n">
        <x:v>5.7</x:v>
      </x:c>
      <x:c r="J102" s="232" t="n">
        <x:v>1026.64</x:v>
      </x:c>
      <x:c r="K102" s="231" t="n">
        <x:v>133</x:v>
      </x:c>
      <x:c r="L102" s="230" t="str">
        <x:v>titanium cutting board ; titanium cookware ; kitchen knives ; kitchen accessories ; kitchen utensils ; food prep tools ; camping cookware</x:v>
      </x:c>
      <x:c r="M102" s="230" t="str">
        <x:v>La planche à découper Original TitaniumCook change le jeu des ustensiles de cuisine. Elle est faite de titane pur, ce qui la rend unique. En comparaison, les planches en bois ou en plastique peuvent être toxiques, retenir les bactéries, émousser les couteaux ou absorber les odeurs.</x:v>
      </x:c>
      <x:c r="N102" s="230" t="str">
        <x:v>https://app.brandsearch.co/brand-analysis/titanecook.com</x:v>
      </x:c>
    </x:row>
    <x:row r="103" ht="21" customHeight="1">
      <x:c r="A103" s="230" t="str">
        <x:v>FR</x:v>
      </x:c>
      <x:c r="B103" s="230" t="str">
        <x:v>chrono-mod.com</x:v>
      </x:c>
      <x:c r="C103" s="230" t="str">
        <x:v>Fashion</x:v>
      </x:c>
      <x:c r="D103" s="231" t="n">
        <x:v>17327</x:v>
      </x:c>
      <x:c r="E103" s="231" t="n">
        <x:v>40</x:v>
      </x:c>
      <x:c r="F103" s="231" t="n">
        <x:v>0</x:v>
      </x:c>
      <x:c r="G103" s="232" t="n">
        <x:v>307.44</x:v>
      </x:c>
      <x:c r="H103" s="232" t="n">
        <x:f>G103/'Méthode'!$B$5</x:f>
        <x:v>268.8587669435942</x:v>
      </x:c>
      <x:c r="I103" s="232" t="n">
        <x:v>39</x:v>
      </x:c>
      <x:c r="J103" s="232" t="n">
        <x:v>769</x:v>
      </x:c>
      <x:c r="K103" s="231" t="n">
        <x:v>86</x:v>
      </x:c>
      <x:c r="L103" s="230" t="str">
        <x:v>custom watches ; modded watches ; watch accessories ; watch parts ; personalized watch services</x:v>
      </x:c>
      <x:c r="M103" s="230" t="str">
        <x:v>Design your own watch with Chrono Mod. Each piece is hand-assembled using premium Seiko movements. Choose every detail. Built for precision and style.</x:v>
      </x:c>
      <x:c r="N103" s="230" t="str">
        <x:v>https://app.brandsearch.co/brand-analysis/chrono-mod.com</x:v>
      </x:c>
    </x:row>
    <x:row r="104" ht="21" customHeight="1">
      <x:c r="A104" s="230" t="str">
        <x:v>FR</x:v>
      </x:c>
      <x:c r="B104" s="230" t="str">
        <x:v>casambu.com</x:v>
      </x:c>
      <x:c r="C104" s="230" t="str">
        <x:v>Sports &amp; Outdoors</x:v>
      </x:c>
      <x:c r="D104" s="231" t="n">
        <x:v>17119</x:v>
      </x:c>
      <x:c r="E104" s="231" t="n">
        <x:v>40</x:v>
      </x:c>
      <x:c r="F104" s="231" t="n">
        <x:v>0</x:v>
      </x:c>
      <x:c r="G104" s="232" t="n">
        <x:v>382.62</x:v>
      </x:c>
      <x:c r="H104" s="232" t="n">
        <x:f>G104/'Méthode'!$B$5</x:f>
        <x:v>334.6042850896371</x:v>
      </x:c>
      <x:c r="I104" s="232" t="n">
        <x:v>1.14</x:v>
      </x:c>
      <x:c r="J104" s="232" t="n">
        <x:v>5923.44</x:v>
      </x:c>
      <x:c r="K104" s="231" t="n">
        <x:v>773</x:v>
      </x:c>
      <x:c r="L104" s="230" t="str">
        <x:v>camping accessories ; vanlife gear ; portable cooking equipment ; outdoor lighting ; portable toilets ; travel storage ; bivouac gear ; camping cookware</x:v>
      </x:c>
      <x:c r="M104" s="230" t="str">
        <x:v>E-shop dedicated to nomad trips, road trips and vanlife. We offer over 600 practical, durable and sustainable accessories. Equipment for campervan, RV, motorhome, camping, etc. ➽ Fast delivery ➽ Quality equipment.</x:v>
      </x:c>
      <x:c r="N104" s="230" t="str">
        <x:v>https://app.brandsearch.co/brand-analysis/casambu.com</x:v>
      </x:c>
    </x:row>
    <x:row r="105" ht="21" customHeight="1">
      <x:c r="A105" s="230" t="str">
        <x:v>FR</x:v>
      </x:c>
      <x:c r="B105" s="230" t="str">
        <x:v>omacshop.fr</x:v>
      </x:c>
      <x:c r="C105" s="230" t="str">
        <x:v>Automotive</x:v>
      </x:c>
      <x:c r="D105" s="231" t="n">
        <x:v>14080</x:v>
      </x:c>
      <x:c r="E105" s="231" t="n">
        <x:v>40</x:v>
      </x:c>
      <x:c r="F105" s="231" t="n">
        <x:v>0</x:v>
      </x:c>
      <x:c r="G105" s="232" t="n">
        <x:v>174.37</x:v>
      </x:c>
      <x:c r="H105" s="232" t="n">
        <x:f>G105/'Méthode'!$B$5</x:f>
        <x:v>152.4879755137735</x:v>
      </x:c>
      <x:c r="I105" s="232" t="n">
        <x:v>10.27</x:v>
      </x:c>
      <x:c r="J105" s="232" t="n">
        <x:v>7232.2</x:v>
      </x:c>
      <x:c r="K105" s="231" t="n">
        <x:v>2000</x:v>
      </x:c>
      <x:c r="L105" s="230" t="str">
        <x:v>car mats ; car seat cushions ; bumpers and protectors ; car interior accessories ; car cleaning tools ; car storage solutions ; car lighting accessories</x:v>
      </x:c>
      <x:c r="M105" s="230" t="str">
        <x:v>Découvrez la meilleure boutique d'accessoires auto en France ! Trouvez des accessoires de qualité près de chez vous et équipez votre voiture avec style.</x:v>
      </x:c>
      <x:c r="N105" s="230" t="str">
        <x:v>https://app.brandsearch.co/brand-analysis/omacshop.fr</x:v>
      </x:c>
    </x:row>
    <x:row r="106" ht="21" customHeight="1">
      <x:c r="A106" s="230" t="str">
        <x:v>FR</x:v>
      </x:c>
      <x:c r="B106" s="230" t="str">
        <x:v>blackviewshop.de</x:v>
      </x:c>
      <x:c r="C106" s="230" t="str">
        <x:v>Electronics &amp; Tech</x:v>
      </x:c>
      <x:c r="D106" s="231" t="n">
        <x:v>10796</x:v>
      </x:c>
      <x:c r="E106" s="231" t="n">
        <x:v>40</x:v>
      </x:c>
      <x:c r="F106" s="231" t="n">
        <x:v>0</x:v>
      </x:c>
      <x:c r="G106" s="232" t="n">
        <x:v>221.37</x:v>
      </x:c>
      <x:c r="H106" s="232" t="n">
        <x:f>G106/'Méthode'!$B$5</x:f>
        <x:v>193.58985570616528</x:v>
      </x:c>
      <x:c r="I106" s="232" t="n">
        <x:v>11.31</x:v>
      </x:c>
      <x:c r="J106" s="232" t="n">
        <x:v>1027.65</x:v>
      </x:c>
      <x:c r="K106" s="231" t="n">
        <x:v>117</x:v>
      </x:c>
      <x:c r="L106" s="230" t="str">
        <x:v>outdoor smartphones ; tablets ; rugged phones ; senior phones ; accessories</x:v>
      </x:c>
      <x:c r="M106" s="230" t="str">
        <x:v>Blackviewshop.de ist die offizielle Seite in Deutschland. 100 % Originalprodukte. Ihre Bestellung wird innerhalb von 24 Stunden bearbeitet und innerhalb von 24/72 Stunden geliefert. | 24 Monate Garantie | Kostenloser Versand für Bestellungen über 100 €.</x:v>
      </x:c>
      <x:c r="N106" s="230" t="str">
        <x:v>https://app.brandsearch.co/brand-analysis/blackviewshop.de</x:v>
      </x:c>
    </x:row>
    <x:row r="107" ht="21" customHeight="1">
      <x:c r="A107" s="230" t="str">
        <x:v>FR</x:v>
      </x:c>
      <x:c r="B107" s="230" t="str">
        <x:v>www.woodstockshop.com</x:v>
      </x:c>
      <x:c r="C107" s="230" t="str">
        <x:v>Sports &amp; Outdoors</x:v>
      </x:c>
      <x:c r="D107" s="231" t="n">
        <x:v>10253</x:v>
      </x:c>
      <x:c r="E107" s="231" t="n">
        <x:v>40</x:v>
      </x:c>
      <x:c r="F107" s="231" t="n">
        <x:v>0</x:v>
      </x:c>
      <x:c r="G107" s="232" t="n">
        <x:v>221.36</x:v>
      </x:c>
      <x:c r="H107" s="232" t="n">
        <x:f>G107/'Méthode'!$B$5</x:f>
        <x:v>193.5811106252733</x:v>
      </x:c>
      <x:c r="I107" s="232" t="n">
        <x:v>1.14</x:v>
      </x:c>
      <x:c r="J107" s="232" t="n">
        <x:v>3414.5</x:v>
      </x:c>
      <x:c r="K107" s="231" t="n">
        <x:v>2000</x:v>
      </x:c>
      <x:c r="L107" s="230" t="str">
        <x:v>surf accessories ; wetsuits ; bodyboards ; skate gear ; snow equipment ; protective gear ; leashes</x:v>
      </x:c>
      <x:c r="M107" s="230" t="str">
        <x:v>Retrouvez chez Woodstockshop.com tout le matériel technique surf, skate, snow, bodyboard, skimboard, néoprène et accessoires. Nouveautés et bons plans toute l'année. SurfShop en ligne et showroom sur la Côte Basque. Commandez en ligne et profitez des frais de port offerts dès 50 euros de commande!</x:v>
      </x:c>
      <x:c r="N107" s="230" t="str">
        <x:v>https://app.brandsearch.co/brand-analysis/woodstockshop.com</x:v>
      </x:c>
    </x:row>
    <x:row r="108" ht="21" customHeight="1">
      <x:c r="A108" s="230" t="str">
        <x:v>FR</x:v>
      </x:c>
      <x:c r="B108" s="230" t="str">
        <x:v>www.lothaire.fr</x:v>
      </x:c>
      <x:c r="C108" s="230" t="str">
        <x:v>Fashion</x:v>
      </x:c>
      <x:c r="D108" s="231" t="n">
        <x:v>8775</x:v>
      </x:c>
      <x:c r="E108" s="231" t="n">
        <x:v>40</x:v>
      </x:c>
      <x:c r="F108" s="231" t="n">
        <x:v>0</x:v>
      </x:c>
      <x:c r="G108" s="232" t="n">
        <x:v>366.59</x:v>
      </x:c>
      <x:c r="H108" s="232" t="n">
        <x:f>G108/'Méthode'!$B$5</x:f>
        <x:v>320.58592041976385</x:v>
      </x:c>
      <x:c r="I108" s="232" t="n">
        <x:v>28.5</x:v>
      </x:c>
      <x:c r="J108" s="232" t="n">
        <x:v>8089.09</x:v>
      </x:c>
      <x:c r="K108" s="231" t="n">
        <x:v>2000</x:v>
      </x:c>
      <x:c r="L108" s="230" t="str">
        <x:v>designer clothing ; luxury sneakers ; branded accessories ; premium footwear ; fashion apparel</x:v>
      </x:c>
      <x:c r="M108" s="230" t="str">
        <x:v>Vêtements et chaussures : Stone Island / CP Company / Moncler / Alexander McQueen / Ami Paris / Polo Ralph Lauren / Autry / Golden Goose . Livraison et retour gratuits.</x:v>
      </x:c>
      <x:c r="N108" s="230" t="str">
        <x:v>https://app.brandsearch.co/brand-analysis/lothaire.fr</x:v>
      </x:c>
    </x:row>
    <x:row r="109" ht="21" customHeight="1">
      <x:c r="A109" s="230" t="str">
        <x:v>FR</x:v>
      </x:c>
      <x:c r="B109" s="230" t="str">
        <x:v>luppa.fr</x:v>
      </x:c>
      <x:c r="C109" s="230" t="str">
        <x:v>Home Decor</x:v>
      </x:c>
      <x:c r="D109" s="231" t="n">
        <x:v>7991</x:v>
      </x:c>
      <x:c r="E109" s="231" t="n">
        <x:v>40</x:v>
      </x:c>
      <x:c r="F109" s="231" t="n">
        <x:v>0</x:v>
      </x:c>
      <x:c r="G109" s="232" t="n">
        <x:v>169.34</x:v>
      </x:c>
      <x:c r="H109" s="232" t="n">
        <x:f>G109/'Méthode'!$B$5</x:f>
        <x:v>148.08919982509838</x:v>
      </x:c>
      <x:c r="I109" s="232" t="n">
        <x:v>11.31</x:v>
      </x:c>
      <x:c r="J109" s="232" t="n">
        <x:v>1712.81</x:v>
      </x:c>
      <x:c r="K109" s="231" t="n">
        <x:v>148</x:v>
      </x:c>
      <x:c r="L109" s="230" t="str">
        <x:v>interior lighting fixtures ; wall lamps ; ceiling lights ; table lamps ; outdoor lighting ; design luminaires ; led lamps</x:v>
      </x:c>
      <x:c r="M109" s="230" t="str">
        <x:v>Luppa.fr regroupe des luminaires d'exceptions, pour toutes les pièces de votre maison. Découvrez nos nouvelles pièces design et changez d'ambiance !</x:v>
      </x:c>
      <x:c r="N109" s="230" t="str">
        <x:v>https://app.brandsearch.co/brand-analysis/luppa.fr</x:v>
      </x:c>
    </x:row>
    <x:row r="110" ht="21" customHeight="1">
      <x:c r="A110" s="230" t="str">
        <x:v>FR</x:v>
      </x:c>
      <x:c r="B110" s="230" t="str">
        <x:v>matieresetbeton.com</x:v>
      </x:c>
      <x:c r="C110" s="230" t="str">
        <x:v>Home &amp; Garden</x:v>
      </x:c>
      <x:c r="D110" s="231" t="n">
        <x:v>7967</x:v>
      </x:c>
      <x:c r="E110" s="231" t="n">
        <x:v>40</x:v>
      </x:c>
      <x:c r="F110" s="231" t="n">
        <x:v>0</x:v>
      </x:c>
      <x:c r="G110" s="232" t="n">
        <x:v>225.72</x:v>
      </x:c>
      <x:c r="H110" s="232" t="n">
        <x:f>G110/'Méthode'!$B$5</x:f>
        <x:v>197.39396589418453</x:v>
      </x:c>
      <x:c r="I110" s="232" t="n">
        <x:v>1.88</x:v>
      </x:c>
      <x:c r="J110" s="232" t="n">
        <x:v>2370.71</x:v>
      </x:c>
      <x:c r="K110" s="231" t="n">
        <x:v>305</x:v>
      </x:c>
      <x:c r="L110" s="230" t="str">
        <x:v>concrete pigments ; floor sealers ; waterproofing products ; metal varnishes ; surface hardeners ; decorative coatings ; industrial paints</x:v>
      </x:c>
      <x:c r="M110" s="230" t="str">
        <x:v>Achetez en ligne vos matériaux fabriqués en France pour la pose de béton ciré, peintures naturelles, enduits d’argile, produits d'étanchéité et de nettoyage, produits de traitement métaux.</x:v>
      </x:c>
      <x:c r="N110" s="230" t="str">
        <x:v>https://app.brandsearch.co/brand-analysis/matieresetbeton.com</x:v>
      </x:c>
    </x:row>
    <x:row r="111" ht="21" customHeight="1">
      <x:c r="A111" s="230" t="str">
        <x:v>FR</x:v>
      </x:c>
      <x:c r="B111" s="230" t="str">
        <x:v>www.planetebeauty.com</x:v>
      </x:c>
      <x:c r="C111" s="230" t="str">
        <x:v>Beauty &amp; Skincare</x:v>
      </x:c>
      <x:c r="D111" s="231" t="n">
        <x:v>7830</x:v>
      </x:c>
      <x:c r="E111" s="231" t="n">
        <x:v>40</x:v>
      </x:c>
      <x:c r="F111" s="231" t="n">
        <x:v>0</x:v>
      </x:c>
      <x:c r="G111" s="232" t="n">
        <x:v>123.48</x:v>
      </x:c>
      <x:c r="H111" s="232" t="n">
        <x:f>G111/'Méthode'!$B$5</x:f>
        <x:v>107.98425885439441</x:v>
      </x:c>
      <x:c r="I111" s="232" t="n">
        <x:v>3</x:v>
      </x:c>
      <x:c r="J111" s="232" t="n">
        <x:v>663</x:v>
      </x:c>
      <x:c r="K111" s="231" t="n">
        <x:v>221</x:v>
      </x:c>
      <x:c r="L111" s="230" t="str">
        <x:v>niche perfumes ; extrait de parfum ; eau de parfum ; parfum gift sets ; rechargeable perfume bottles</x:v>
      </x:c>
      <x:c r="M111" s="230" t="str">
        <x:v>Discover the world of ultra-niche and luxury perfumes at Planetebeauty. An exclusive selection of rare and premium fragrances. Delivered to France.</x:v>
      </x:c>
      <x:c r="N111" s="230" t="str">
        <x:v>https://app.brandsearch.co/brand-analysis/planetebeauty.com</x:v>
      </x:c>
    </x:row>
    <x:row r="112" ht="21" customHeight="1">
      <x:c r="A112" s="230" t="str">
        <x:v>FR</x:v>
      </x:c>
      <x:c r="B112" s="230" t="str">
        <x:v>justcashmere.fr</x:v>
      </x:c>
      <x:c r="C112" s="230" t="str">
        <x:v>Fashion</x:v>
      </x:c>
      <x:c r="D112" s="231" t="n">
        <x:v>5559</x:v>
      </x:c>
      <x:c r="E112" s="231" t="n">
        <x:v>40</x:v>
      </x:c>
      <x:c r="F112" s="231" t="n">
        <x:v>0</x:v>
      </x:c>
      <x:c r="G112" s="232" t="n">
        <x:v>177</x:v>
      </x:c>
      <x:c r="H112" s="232" t="n">
        <x:f>G112/'Méthode'!$B$5</x:f>
        <x:v>154.78793178836904</x:v>
      </x:c>
      <x:c r="I112" s="232" t="n">
        <x:v>33.1</x:v>
      </x:c>
      <x:c r="J112" s="232" t="n">
        <x:v>796.96</x:v>
      </x:c>
      <x:c r="K112" s="231" t="n">
        <x:v>2000</x:v>
      </x:c>
      <x:c r="L112" s="230" t="str">
        <x:v>cashmere sweaters ; cardigans ; pullovers ; gilets ; scarves</x:v>
      </x:c>
      <x:c r="M112" s="230" t="str">
        <x:v>JUST CASHMERE garde une note de décontraction, une touche de sophistication et des accords raffinés. Les pièces de la collection s'intègrent parfaitement à un vestiaire urbain et contemporain. 100% cachemire.</x:v>
      </x:c>
      <x:c r="N112" s="230" t="str">
        <x:v>https://app.brandsearch.co/brand-analysis/justcashmere.fr</x:v>
      </x:c>
    </x:row>
    <x:row r="113" ht="21" customHeight="1">
      <x:c r="A113" s="230" t="str">
        <x:v>FR</x:v>
      </x:c>
      <x:c r="B113" s="230" t="str">
        <x:v>zeus-surf.com</x:v>
      </x:c>
      <x:c r="C113" s="230" t="str">
        <x:v>Sports &amp; Outdoors</x:v>
      </x:c>
      <x:c r="D113" s="231" t="n">
        <x:v>5146</x:v>
      </x:c>
      <x:c r="E113" s="231" t="n">
        <x:v>40</x:v>
      </x:c>
      <x:c r="F113" s="231" t="n">
        <x:v>0</x:v>
      </x:c>
      <x:c r="G113" s="232" t="n">
        <x:v>250.27</x:v>
      </x:c>
      <x:c r="H113" s="232" t="n">
        <x:f>G113/'Méthode'!$B$5</x:f>
        <x:v>218.86313948404023</x:v>
      </x:c>
      <x:c r="I113" s="232" t="n">
        <x:v>5.71</x:v>
      </x:c>
      <x:c r="J113" s="232" t="n">
        <x:v>1197.91</x:v>
      </x:c>
      <x:c r="K113" s="231" t="n">
        <x:v>105</x:v>
      </x:c>
      <x:c r="L113" s="230" t="str">
        <x:v>surfboards ; surf accessories ; wetsuits ; surfwear ; leashes ; fins ; ponchos</x:v>
      </x:c>
      <x:c r="M113" s="230" t="str">
        <x:v>Discover Zeus, the wildest and most innovative French surf brand. Dive into our fun world with our premium soft top surfboards and stylish surf apparel.</x:v>
      </x:c>
      <x:c r="N113" s="230" t="str">
        <x:v>https://app.brandsearch.co/brand-analysis/zeus-surf.com</x:v>
      </x:c>
    </x:row>
    <x:row r="114" ht="21" customHeight="1">
      <x:c r="A114" s="230" t="str">
        <x:v>FR</x:v>
      </x:c>
      <x:c r="B114" s="230" t="str">
        <x:v>potiron.com</x:v>
      </x:c>
      <x:c r="C114" s="230" t="str">
        <x:v>Home Decor</x:v>
      </x:c>
      <x:c r="D114" s="231" t="n">
        <x:v>3832</x:v>
      </x:c>
      <x:c r="E114" s="231" t="n">
        <x:v>40</x:v>
      </x:c>
      <x:c r="F114" s="231" t="n">
        <x:v>0</x:v>
      </x:c>
      <x:c r="G114" s="232" t="n">
        <x:v>221.67</x:v>
      </x:c>
      <x:c r="H114" s="232" t="n">
        <x:f>G114/'Méthode'!$B$5</x:f>
        <x:v>193.85220813292523</x:v>
      </x:c>
      <x:c r="I114" s="232" t="n">
        <x:v>9.14</x:v>
      </x:c>
      <x:c r="J114" s="232" t="n">
        <x:v>2853.81</x:v>
      </x:c>
      <x:c r="K114" s="231" t="n">
        <x:v>542</x:v>
      </x:c>
      <x:c r="L114" s="230" t="str">
        <x:v>contemporary furniture ; lamps ; decorative accessories ; photo frames ; cushions</x:v>
      </x:c>
      <x:c r="M114" s="230" t="str">
        <x:v>Retrouvez un large choix de meubles contemporains. Depuis 1997, Potiron vous propose du mobilier design de qualité et au meilleur prix. Livraison en 72h 🗸</x:v>
      </x:c>
      <x:c r="N114" s="230" t="str">
        <x:v>https://app.brandsearch.co/brand-analysis/potiron.com</x:v>
      </x:c>
    </x:row>
    <x:row r="115" ht="21" customHeight="1">
      <x:c r="A115" s="230" t="str">
        <x:v>FR</x:v>
      </x:c>
      <x:c r="B115" s="230" t="str">
        <x:v>www.elements-lighting.fr</x:v>
      </x:c>
      <x:c r="C115" s="230" t="str">
        <x:v>Home &amp; Garden</x:v>
      </x:c>
      <x:c r="D115" s="231" t="n">
        <x:v>2803</x:v>
      </x:c>
      <x:c r="E115" s="231" t="n">
        <x:v>40</x:v>
      </x:c>
      <x:c r="F115" s="231" t="n">
        <x:v>0</x:v>
      </x:c>
      <x:c r="G115" s="232" t="n">
        <x:v>183.41</x:v>
      </x:c>
      <x:c r="H115" s="232" t="n">
        <x:f>G115/'Méthode'!$B$5</x:f>
        <x:v>160.39352864013992</x:v>
      </x:c>
      <x:c r="I115" s="232" t="n">
        <x:v>11.42</x:v>
      </x:c>
      <x:c r="J115" s="232" t="n">
        <x:v>1747.2</x:v>
      </x:c>
      <x:c r="K115" s="231" t="n">
        <x:v>266</x:v>
      </x:c>
      <x:c r="L115" s="230" t="str">
        <x:v>lamps ; light fixtures ; decorative lighting ; led lamps ; message lamps ; ambient lighting ; shelf lamps</x:v>
      </x:c>
      <x:c r="M115" s="230" t="str">
        <x:v>Elements Lighting designs stylish and artisanal light fixtures. Its iconic brand, Message In The Bulb, offers unique LED message bulbs, paired with high-end bases and wall lights to enhance any space.</x:v>
      </x:c>
      <x:c r="N115" s="230" t="str">
        <x:v>https://app.brandsearch.co/brand-analysis/elements-lighting.fr</x:v>
      </x:c>
    </x:row>
    <x:row r="116" ht="21" customHeight="1">
      <x:c r="A116" s="230" t="str">
        <x:v>FR</x:v>
      </x:c>
      <x:c r="B116" s="230" t="str">
        <x:v>visionnocturnepro.fr</x:v>
      </x:c>
      <x:c r="C116" s="230" t="str">
        <x:v>Electronics &amp; Tech</x:v>
      </x:c>
      <x:c r="D116" s="231" t="n">
        <x:v>1995</x:v>
      </x:c>
      <x:c r="E116" s="231" t="n">
        <x:v>40</x:v>
      </x:c>
      <x:c r="F116" s="231" t="n">
        <x:v>0</x:v>
      </x:c>
      <x:c r="G116" s="232" t="n">
        <x:v>184.63</x:v>
      </x:c>
      <x:c r="H116" s="232" t="n">
        <x:f>G116/'Méthode'!$B$5</x:f>
        <x:v>161.4604285089637</x:v>
      </x:c>
      <x:c r="I116" s="232" t="n">
        <x:v>128.04</x:v>
      </x:c>
      <x:c r="J116" s="232" t="n">
        <x:v>232.9</x:v>
      </x:c>
      <x:c r="K116" s="231" t="n">
        <x:v>18</x:v>
      </x:c>
      <x:c r="L116" s="230" t="str">
        <x:v>night vision binoculars ; infrared cameras ; thermal imaging devices ; security cameras ; accessories for surveillance equipment</x:v>
      </x:c>
      <x:c r="M116" s="230" t="str">
        <x:v>Découvrez notre sélection de jumelles de vision nocturne et caméras infrarouges. Haute résolution, vision thermique et longue portée pour la chasse ou la sécurité.</x:v>
      </x:c>
      <x:c r="N116" s="230" t="str">
        <x:v>https://app.brandsearch.co/brand-analysis/visionnocturnepro.fr</x:v>
      </x:c>
    </x:row>
    <x:row r="117" ht="21" customHeight="1">
      <x:c r="A117" s="230" t="str">
        <x:v>FR</x:v>
      </x:c>
      <x:c r="B117" s="230" t="str">
        <x:v>www.myplayground.store</x:v>
      </x:c>
      <x:c r="C117" s="230" t="str">
        <x:v>Toys &amp; Games</x:v>
      </x:c>
      <x:c r="D117" s="231" t="n">
        <x:v>1389</x:v>
      </x:c>
      <x:c r="E117" s="231" t="n">
        <x:v>40</x:v>
      </x:c>
      <x:c r="F117" s="231" t="n">
        <x:v>0</x:v>
      </x:c>
      <x:c r="G117" s="232" t="n">
        <x:v>99.82</x:v>
      </x:c>
      <x:c r="H117" s="232" t="n">
        <x:f>G117/'Méthode'!$B$5</x:f>
        <x:v>87.29339746392654</x:v>
      </x:c>
      <x:c r="I117" s="232" t="n">
        <x:v>1.75</x:v>
      </x:c>
      <x:c r="J117" s="232" t="n">
        <x:v>4077.61</x:v>
      </x:c>
      <x:c r="K117" s="231" t="n">
        <x:v>2000</x:v>
      </x:c>
      <x:c r="L117" s="230" t="str">
        <x:v>creative gardening kits ; children's gardening sets ; craft kits for kids ; educational toy kits ; plant growing kits ; kids' diy craft sets ; enfant gardening kits</x:v>
      </x:c>
      <x:c r="M117" s="230" t="str">
        <x:v>Découvrez MyPlayground, la boutique en ligne dédiée aux enfants de 0 à 12 ans : piscines à balles, vélos, draisiennes, jeux de motricité et activités Montessori. Des jouets en bois éducatifs et durables pour éveiller l’imagination, favoriser l’apprentissage et réduire le temps d’écran.</x:v>
      </x:c>
      <x:c r="N117" s="230" t="str">
        <x:v>https://app.brandsearch.co/brand-analysis/myplayground.store</x:v>
      </x:c>
    </x:row>
    <x:row r="118" ht="21" customHeight="1">
      <x:c r="A118" s="230" t="str">
        <x:v>FR</x:v>
      </x:c>
      <x:c r="B118" s="230" t="str">
        <x:v>pieces-engins-tp.fr</x:v>
      </x:c>
      <x:c r="C118" s="230" t="str">
        <x:v>Other</x:v>
      </x:c>
      <x:c r="D118" s="231" t="n">
        <x:v>1060</x:v>
      </x:c>
      <x:c r="E118" s="231" t="n">
        <x:v>40</x:v>
      </x:c>
      <x:c r="F118" s="231" t="n">
        <x:v>0</x:v>
      </x:c>
      <x:c r="G118" s="232" t="n">
        <x:v>441.92</x:v>
      </x:c>
      <x:c r="H118" s="232" t="n">
        <x:f>G118/'Méthode'!$B$5</x:f>
        <x:v>386.4626147791867</x:v>
      </x:c>
      <x:c r="I118" s="232" t="n">
        <x:v>0.49</x:v>
      </x:c>
      <x:c r="J118" s="232" t="n">
        <x:v>5662.91</x:v>
      </x:c>
      <x:c r="K118" s="231" t="n">
        <x:v>2000</x:v>
      </x:c>
      <x:c r="L118" s="230" t="str">
        <x:v>track rollers ; idlers ; drive sprockets ; hydraulic motors ; under carriage parts ; grouser shoes ; bucket teeth ; wear parts</x:v>
      </x:c>
      <x:c r="M118" s="230" t="str">
        <x:v>Découvrez nos chaînes acier et barbotins alliant fiabilité et durabilité. Choisissez la qualité, contactez-nous dès aujourd'hui !</x:v>
      </x:c>
      <x:c r="N118" s="230" t="str">
        <x:v>https://app.brandsearch.co/brand-analysis/pieces-engins-tp.fr</x:v>
      </x:c>
    </x:row>
    <x:row r="119" ht="21" customHeight="1">
      <x:c r="A119" s="230" t="str">
        <x:v>FR</x:v>
      </x:c>
      <x:c r="B119" s="230" t="str">
        <x:v>my-webspot.com</x:v>
      </x:c>
      <x:c r="C119" s="230" t="str">
        <x:v>Electronics &amp; Tech</x:v>
      </x:c>
      <x:c r="D119" s="231" t="n">
        <x:v>942</x:v>
      </x:c>
      <x:c r="E119" s="231" t="n">
        <x:v>40</x:v>
      </x:c>
      <x:c r="F119" s="231" t="n">
        <x:v>0</x:v>
      </x:c>
      <x:c r="G119" s="232" t="n">
        <x:v>189</x:v>
      </x:c>
      <x:c r="H119" s="232" t="n">
        <x:f>G119/'Méthode'!$B$5</x:f>
        <x:v>165.28202885876695</x:v>
      </x:c>
      <x:c r="I119" s="232" t="n">
        <x:v>79</x:v>
      </x:c>
      <x:c r="J119" s="232" t="n">
        <x:v>299</x:v>
      </x:c>
      <x:c r="K119" s="231" t="n">
        <x:v>3</x:v>
      </x:c>
      <x:c r="L119" s="230" t="str">
        <x:v>portable wifi boxes ; mobile hotspot devices ; wireless internet routers</x:v>
      </x:c>
      <x:c r="M119" s="230" t="str">
        <x:v>Own your My Webspot Pocket WiFi! Connect up to 5 devices in 130+ countries. No SIMs, no contracts — just unlimited internet wherever you travel.</x:v>
      </x:c>
      <x:c r="N119" s="230" t="str">
        <x:v>https://app.brandsearch.co/brand-analysis/my-webspot.com</x:v>
      </x:c>
    </x:row>
    <x:row r="120" ht="21" customHeight="1">
      <x:c r="A120" s="230" t="str">
        <x:v>GB</x:v>
      </x:c>
      <x:c r="B120" s="230" t="str">
        <x:v>www.homefitnesscode.com</x:v>
      </x:c>
      <x:c r="C120" s="230" t="str">
        <x:v>Sports &amp; Outdoors</x:v>
      </x:c>
      <x:c r="D120" s="231" t="n">
        <x:v>619458</x:v>
      </x:c>
      <x:c r="E120" s="231" t="n">
        <x:v>40</x:v>
      </x:c>
      <x:c r="F120" s="231" t="n">
        <x:v>0</x:v>
      </x:c>
      <x:c r="G120" s="232" t="n">
        <x:v>161.37</x:v>
      </x:c>
      <x:c r="H120" s="232" t="n">
        <x:f>G120/'Méthode'!$B$5</x:f>
        <x:v>141.11937035417577</x:v>
      </x:c>
      <x:c r="I120" s="232" t="n">
        <x:v>13.32</x:v>
      </x:c>
      <x:c r="J120" s="232" t="n">
        <x:v>373.44</x:v>
      </x:c>
      <x:c r="K120" s="231" t="n">
        <x:v>49</x:v>
      </x:c>
      <x:c r="L120" s="230" t="str">
        <x:v>treadmills ; exercise bikes ; foldable workout benches ; power towers ; vibration plates</x:v>
      </x:c>
      <x:c r="M120" s="230" t="str">
        <x:v>HomeFitnessCode is dedicated to providing exceptional home fitness equipment at affordable prices. We hope to inspire you to exercise at home and enjoy the fun of exercise!</x:v>
      </x:c>
      <x:c r="N120" s="230" t="str">
        <x:v>https://app.brandsearch.co/brand-analysis/homefitnesscode.com</x:v>
      </x:c>
    </x:row>
    <x:row r="121" ht="21" customHeight="1">
      <x:c r="A121" s="230" t="str">
        <x:v>GB</x:v>
      </x:c>
      <x:c r="B121" s="230" t="str">
        <x:v>www.function18.com</x:v>
      </x:c>
      <x:c r="C121" s="230" t="str">
        <x:v>Sports &amp; Outdoors</x:v>
      </x:c>
      <x:c r="D121" s="231" t="n">
        <x:v>236439</x:v>
      </x:c>
      <x:c r="E121" s="231" t="n">
        <x:v>40</x:v>
      </x:c>
      <x:c r="F121" s="231" t="n">
        <x:v>0</x:v>
      </x:c>
      <x:c r="G121" s="232" t="n">
        <x:v>99.4</x:v>
      </x:c>
      <x:c r="H121" s="232" t="n">
        <x:f>G121/'Méthode'!$B$5</x:f>
        <x:v>86.92610406646263</x:v>
      </x:c>
      <x:c r="I121" s="232" t="n">
        <x:v>2.67</x:v>
      </x:c>
      <x:c r="J121" s="232" t="n">
        <x:v>1932.52</x:v>
      </x:c>
      <x:c r="K121" s="231" t="n">
        <x:v>2000</x:v>
      </x:c>
      <x:c r="L121" s="230" t="str">
        <x:v>golf shirts ; golf trousers ; golf shoes ; golf accessories ; gift vouchers</x:v>
      </x:c>
      <x:c r="M121" s="230" t="str">
        <x:v>Buy Mens Golf Clothing From The Leading Brands - Free Express UK Delivery - Function18 Stock A Huge Range Of Golf Shirts, Trousers, Golf Shoes &amp; More</x:v>
      </x:c>
      <x:c r="N121" s="230" t="str">
        <x:v>https://app.brandsearch.co/brand-analysis/function18.com</x:v>
      </x:c>
    </x:row>
    <x:row r="122" ht="21" customHeight="1">
      <x:c r="A122" s="230" t="str">
        <x:v>GB</x:v>
      </x:c>
      <x:c r="B122" s="230" t="str">
        <x:v>cubitts.com</x:v>
      </x:c>
      <x:c r="C122" s="230" t="str">
        <x:v>Fashion</x:v>
      </x:c>
      <x:c r="D122" s="231" t="n">
        <x:v>218520</x:v>
      </x:c>
      <x:c r="E122" s="231" t="n">
        <x:v>40</x:v>
      </x:c>
      <x:c r="F122" s="231" t="n">
        <x:v>0</x:v>
      </x:c>
      <x:c r="G122" s="232" t="n">
        <x:v>275.65</x:v>
      </x:c>
      <x:c r="H122" s="232" t="n">
        <x:f>G122/'Méthode'!$B$5</x:f>
        <x:v>241.05815478793178</x:v>
      </x:c>
      <x:c r="I122" s="232" t="n">
        <x:v>15</x:v>
      </x:c>
      <x:c r="J122" s="232" t="n">
        <x:v>775</x:v>
      </x:c>
      <x:c r="K122" s="231" t="n">
        <x:v>494</x:v>
      </x:c>
      <x:c r="L122" s="230" t="str">
        <x:v>prescription glasses ; sunglasses ; optical frames ; lens services ; frame repairs</x:v>
      </x:c>
      <x:c r="M122" s="230" t="str">
        <x:v>Explore Cubitts spectacles and sunglasses, handcrafted in the traditional way to suit your shape, size, and style. Buy your prescription glasses with ZEISS ClearView lenses online via our award-winning website or visit our beautifully designed stores for eye exams, frame fitting, repairs, and bespoke frame services.</x:v>
      </x:c>
      <x:c r="N122" s="230" t="str">
        <x:v>https://app.brandsearch.co/brand-analysis/cubitts.com</x:v>
      </x:c>
    </x:row>
    <x:row r="123" ht="21" customHeight="1">
      <x:c r="A123" s="230" t="str">
        <x:v>GB</x:v>
      </x:c>
      <x:c r="B123" s="230" t="str">
        <x:v>www.trulypvc.com</x:v>
      </x:c>
      <x:c r="C123" s="230" t="str">
        <x:v>Home Decor</x:v>
      </x:c>
      <x:c r="D123" s="231" t="n">
        <x:v>101554</x:v>
      </x:c>
      <x:c r="E123" s="231" t="n">
        <x:v>40</x:v>
      </x:c>
      <x:c r="F123" s="231" t="n">
        <x:v>0</x:v>
      </x:c>
      <x:c r="G123" s="232" t="n">
        <x:v>453.49</x:v>
      </x:c>
      <x:c r="H123" s="232" t="n">
        <x:f>G123/'Méthode'!$B$5</x:f>
        <x:v>396.5806733712287</x:v>
      </x:c>
      <x:c r="I123" s="232" t="n">
        <x:v>0.37</x:v>
      </x:c>
      <x:c r="J123" s="232" t="n">
        <x:v>8450.44</x:v>
      </x:c>
      <x:c r="K123" s="231" t="n">
        <x:v>930</x:v>
      </x:c>
      <x:c r="L123" s="230" t="str">
        <x:v>window handles ; door cylinders ; gutter systems ; building supplies ; roofing components</x:v>
      </x:c>
      <x:c r="M123" s="230" t="str">
        <x:v>Specialising in conservatory components, complimented by a range of window and door hardware, plus building and roofing supplies. With over 25 years’ experience in installing and servicing PVC-u conservatories, windows and doors, we can be relied on to provide sound pre-sales advice and a highly reliable service.</x:v>
      </x:c>
      <x:c r="N123" s="230" t="str">
        <x:v>https://app.brandsearch.co/brand-analysis/trulypvc.com</x:v>
      </x:c>
    </x:row>
    <x:row r="124" ht="21" customHeight="1">
      <x:c r="A124" s="230" t="str">
        <x:v>GB</x:v>
      </x:c>
      <x:c r="B124" s="230" t="str">
        <x:v>www.rattantree.com</x:v>
      </x:c>
      <x:c r="C124" s="230" t="str">
        <x:v>Home &amp; Garden</x:v>
      </x:c>
      <x:c r="D124" s="231" t="n">
        <x:v>101487</x:v>
      </x:c>
      <x:c r="E124" s="231" t="n">
        <x:v>40</x:v>
      </x:c>
      <x:c r="F124" s="231" t="n">
        <x:v>0</x:v>
      </x:c>
      <x:c r="G124" s="232" t="n">
        <x:v>172.4</x:v>
      </x:c>
      <x:c r="H124" s="232" t="n">
        <x:f>G124/'Méthode'!$B$5</x:f>
        <x:v>150.76519457804986</x:v>
      </x:c>
      <x:c r="I124" s="232" t="n">
        <x:v>20.01</x:v>
      </x:c>
      <x:c r="J124" s="232" t="n">
        <x:v>586.83</x:v>
      </x:c>
      <x:c r="K124" s="231" t="n">
        <x:v>32</x:v>
      </x:c>
      <x:c r="L124" s="230" t="str">
        <x:v>rattan garden furniture ; outdoor patio sets ; garden sofas ; garden chairs ; garden tables ; mattresses ; office chairs</x:v>
      </x:c>
      <x:c r="M124" s="230" t="str">
        <x:v>RattanTree - UK</x:v>
      </x:c>
      <x:c r="N124" s="230" t="str">
        <x:v>https://app.brandsearch.co/brand-analysis/rattantree.com</x:v>
      </x:c>
    </x:row>
    <x:row r="125" ht="21" customHeight="1">
      <x:c r="A125" s="230" t="str">
        <x:v>GB</x:v>
      </x:c>
      <x:c r="B125" s="230" t="str">
        <x:v>beddingenvy.co.uk</x:v>
      </x:c>
      <x:c r="C125" s="230" t="str">
        <x:v>Home Decor</x:v>
      </x:c>
      <x:c r="D125" s="231" t="n">
        <x:v>100422</x:v>
      </x:c>
      <x:c r="E125" s="231" t="n">
        <x:v>40</x:v>
      </x:c>
      <x:c r="F125" s="231" t="n">
        <x:v>0</x:v>
      </x:c>
      <x:c r="G125" s="232" t="n">
        <x:v>329.02</x:v>
      </x:c>
      <x:c r="H125" s="232" t="n">
        <x:f>G125/'Méthode'!$B$5</x:f>
        <x:v>287.7306515085264</x:v>
      </x:c>
      <x:c r="I125" s="232" t="n">
        <x:v>2.67</x:v>
      </x:c>
      <x:c r="J125" s="232" t="n">
        <x:v>3465.19</x:v>
      </x:c>
      <x:c r="K125" s="231" t="n">
        <x:v>348</x:v>
      </x:c>
      <x:c r="L125" s="230" t="str">
        <x:v>bed sheets ; pillowcases ; duvet covers ; bed linens ; luxury bedding sets</x:v>
      </x:c>
      <x:c r="M125" s="230" t="str">
        <x:v>Bedding Envy UK</x:v>
      </x:c>
      <x:c r="N125" s="230" t="str">
        <x:v>https://app.brandsearch.co/brand-analysis/beddingenvy.co.uk</x:v>
      </x:c>
    </x:row>
    <x:row r="126" ht="21" customHeight="1">
      <x:c r="A126" s="230" t="str">
        <x:v>GB</x:v>
      </x:c>
      <x:c r="B126" s="230" t="str">
        <x:v>workweargurus.com</x:v>
      </x:c>
      <x:c r="C126" s="230" t="str">
        <x:v>Other</x:v>
      </x:c>
      <x:c r="D126" s="231" t="n">
        <x:v>97713</x:v>
      </x:c>
      <x:c r="E126" s="231" t="n">
        <x:v>40</x:v>
      </x:c>
      <x:c r="F126" s="231" t="n">
        <x:v>0</x:v>
      </x:c>
      <x:c r="G126" s="232" t="n">
        <x:v>113.45</x:v>
      </x:c>
      <x:c r="H126" s="232" t="n">
        <x:f>G126/'Méthode'!$B$5</x:f>
        <x:v>99.21294271972016</x:v>
      </x:c>
      <x:c r="I126" s="232" t="n">
        <x:v>0.99</x:v>
      </x:c>
      <x:c r="J126" s="232" t="n">
        <x:v>1374.99</x:v>
      </x:c>
      <x:c r="K126" s="231" t="n">
        <x:v>2000</x:v>
      </x:c>
      <x:c r="L126" s="230" t="str">
        <x:v>safety boots ; work trousers ; hi-vis safety gear ; ppe equipment ; workwear jackets ; protective gloves ; safety helmets</x:v>
      </x:c>
      <x:c r="M126" s="230" t="str">
        <x:v>Quality workwear, safety, PPE, hi-vis &amp; footwear. Top brands. All trades &amp; industries. Great Prices. UK, USA, Canada, Europe &amp; Worldwide. Free delivery available</x:v>
      </x:c>
      <x:c r="N126" s="230" t="str">
        <x:v>https://app.brandsearch.co/brand-analysis/workweargurus.com</x:v>
      </x:c>
    </x:row>
    <x:row r="127" ht="21" customHeight="1">
      <x:c r="A127" s="230" t="str">
        <x:v>GB</x:v>
      </x:c>
      <x:c r="B127" s="230" t="str">
        <x:v>lektowoodfuels.co.uk</x:v>
      </x:c>
      <x:c r="C127" s="230" t="str">
        <x:v>Home &amp; Garden</x:v>
      </x:c>
      <x:c r="D127" s="231" t="n">
        <x:v>85465</x:v>
      </x:c>
      <x:c r="E127" s="231" t="n">
        <x:v>40</x:v>
      </x:c>
      <x:c r="F127" s="231" t="n">
        <x:v>0</x:v>
      </x:c>
      <x:c r="G127" s="232" t="n">
        <x:v>230.17</x:v>
      </x:c>
      <x:c r="H127" s="232" t="n">
        <x:f>G127/'Méthode'!$B$5</x:f>
        <x:v>201.28552689112374</x:v>
      </x:c>
      <x:c r="I127" s="232" t="n">
        <x:v>27.94</x:v>
      </x:c>
      <x:c r="J127" s="232" t="n">
        <x:v>1110.7</x:v>
      </x:c>
      <x:c r="K127" s="231" t="n">
        <x:v>22</x:v>
      </x:c>
      <x:c r="L127" s="230" t="str">
        <x:v>firewood logs ; fire briquettes ; firelighters ; kindling wood ; wood fuel packs</x:v>
      </x:c>
      <x:c r="M127" s="230" t="str">
        <x:v>The UK's most trusted online supplier of kiln-dried logs, wood briquettes, and fire starting products. Shop Ready to Burn certified NIGHT® Briquettes, Hardwood Heat Logs, Natural Firelighters, Fire Logs, Kiln-Dried Logs, and more. Over 17,000 positive customer reviews. Fast, free UK delivery on orders over £75.</x:v>
      </x:c>
      <x:c r="N127" s="230" t="str">
        <x:v>https://app.brandsearch.co/brand-analysis/lektowoodfuels.co.uk</x:v>
      </x:c>
    </x:row>
    <x:row r="128" ht="21" customHeight="1">
      <x:c r="A128" s="230" t="str">
        <x:v>GB</x:v>
      </x:c>
      <x:c r="B128" s="230" t="str">
        <x:v>lacasadellafibra.com</x:v>
      </x:c>
      <x:c r="C128" s="230" t="str">
        <x:v>Home Decor</x:v>
      </x:c>
      <x:c r="D128" s="231" t="n">
        <x:v>80978</x:v>
      </x:c>
      <x:c r="E128" s="231" t="n">
        <x:v>40</x:v>
      </x:c>
      <x:c r="F128" s="231" t="n">
        <x:v>0</x:v>
      </x:c>
      <x:c r="G128" s="232" t="n">
        <x:v>102.94</x:v>
      </x:c>
      <x:c r="H128" s="232" t="n">
        <x:f>G128/'Méthode'!$B$5</x:f>
        <x:v>90.02186270223</x:v>
      </x:c>
      <x:c r="I128" s="232" t="n">
        <x:v>7</x:v>
      </x:c>
      <x:c r="J128" s="232" t="n">
        <x:v>33654</x:v>
      </x:c>
      <x:c r="K128" s="231" t="n">
        <x:v>2000</x:v>
      </x:c>
      <x:c r="L128" s="230" t="str">
        <x:v>mural wallpaper ; custom wall art ; decorative wall coverings ; art prints ; home decor accessories</x:v>
      </x:c>
      <x:c r="M128" s="230" t="str">
        <x:v>Discover custom mural wallpapers, designer lighting, home decor, fashion and lifestyle essentials. Made for life at home. Free UK &amp; EU delivery.</x:v>
      </x:c>
      <x:c r="N128" s="230" t="str">
        <x:v>https://app.brandsearch.co/brand-analysis/lacasadellafibra.com</x:v>
      </x:c>
    </x:row>
    <x:row r="129" ht="21" customHeight="1">
      <x:c r="A129" s="230" t="str">
        <x:v>GB</x:v>
      </x:c>
      <x:c r="B129" s="230" t="str">
        <x:v>www.afinepairofshoes.co.uk</x:v>
      </x:c>
      <x:c r="C129" s="230" t="str">
        <x:v>Fashion</x:v>
      </x:c>
      <x:c r="D129" s="231" t="n">
        <x:v>79611</x:v>
      </x:c>
      <x:c r="E129" s="231" t="n">
        <x:v>40</x:v>
      </x:c>
      <x:c r="F129" s="231" t="n">
        <x:v>0</x:v>
      </x:c>
      <x:c r="G129" s="232" t="n">
        <x:v>146.82</x:v>
      </x:c>
      <x:c r="H129" s="232" t="n">
        <x:f>G129/'Méthode'!$B$5</x:f>
        <x:v>128.3952776563183</x:v>
      </x:c>
      <x:c r="I129" s="232" t="n">
        <x:v>1.11</x:v>
      </x:c>
      <x:c r="J129" s="232" t="n">
        <x:v>666.88</x:v>
      </x:c>
      <x:c r="K129" s="231" t="n">
        <x:v>563</x:v>
      </x:c>
      <x:c r="L129" s="230" t="str">
        <x:v>men's shoes ; shoe polish ; shoe care products ; shoelaces ; shoe accessories</x:v>
      </x:c>
      <x:c r="M129" s="230" t="str">
        <x:v>Shop premium Goodyear welted shoes and boots from Berwick 1707, Tricker's, Paraboot, Astorflex &amp; more. Free UK shipping over £75. Expert advice since 2006.</x:v>
      </x:c>
      <x:c r="N129" s="230" t="str">
        <x:v>https://app.brandsearch.co/brand-analysis/afinepairofshoes.co.uk</x:v>
      </x:c>
    </x:row>
    <x:row r="130" ht="21" customHeight="1">
      <x:c r="A130" s="230" t="str">
        <x:v>GB</x:v>
      </x:c>
      <x:c r="B130" s="230" t="str">
        <x:v>www.lordsandlabradors.co.uk</x:v>
      </x:c>
      <x:c r="C130" s="230" t="str">
        <x:v>Pet Supplies</x:v>
      </x:c>
      <x:c r="D130" s="231" t="n">
        <x:v>79059</x:v>
      </x:c>
      <x:c r="E130" s="231" t="n">
        <x:v>40</x:v>
      </x:c>
      <x:c r="F130" s="231" t="n">
        <x:v>0</x:v>
      </x:c>
      <x:c r="G130" s="232" t="n">
        <x:v>263.97</x:v>
      </x:c>
      <x:c r="H130" s="232" t="n">
        <x:f>G130/'Méthode'!$B$5</x:f>
        <x:v>230.84390030607787</x:v>
      </x:c>
      <x:c r="I130" s="232" t="n">
        <x:v>2</x:v>
      </x:c>
      <x:c r="J130" s="232" t="n">
        <x:v>3951</x:v>
      </x:c>
      <x:c r="K130" s="231" t="n">
        <x:v>250</x:v>
      </x:c>
      <x:c r="L130" s="230" t="str">
        <x:v>dog crates ; dog beds ; cat food ; pet feeding accessories ; dog gates ; training treats</x:v>
      </x:c>
      <x:c r="M130" s="230" t="str">
        <x:v>Lords &amp; Labradors offer a wide selection of luxury dog and cat products. Our designer collection of beautiful dog crate covers are available in all sizes.</x:v>
      </x:c>
      <x:c r="N130" s="230" t="str">
        <x:v>https://app.brandsearch.co/brand-analysis/lordsandlabradors.co.uk</x:v>
      </x:c>
    </x:row>
    <x:row r="131" ht="21" customHeight="1">
      <x:c r="A131" s="230" t="str">
        <x:v>GB</x:v>
      </x:c>
      <x:c r="B131" s="230" t="str">
        <x:v>www.indooroutdoors.co.uk</x:v>
      </x:c>
      <x:c r="C131" s="230" t="str">
        <x:v>Home &amp; Garden</x:v>
      </x:c>
      <x:c r="D131" s="231" t="n">
        <x:v>77400</x:v>
      </x:c>
      <x:c r="E131" s="231" t="n">
        <x:v>40</x:v>
      </x:c>
      <x:c r="F131" s="231" t="n">
        <x:v>0</x:v>
      </x:c>
      <x:c r="G131" s="232" t="n">
        <x:v>130.11</x:v>
      </x:c>
      <x:c r="H131" s="232" t="n">
        <x:f>G131/'Méthode'!$B$5</x:f>
        <x:v>113.78224748578926</x:v>
      </x:c>
      <x:c r="I131" s="232" t="n">
        <x:v>1.13</x:v>
      </x:c>
      <x:c r="J131" s="232" t="n">
        <x:v>7934.58</x:v>
      </x:c>
      <x:c r="K131" s="231" t="n">
        <x:v>1523</x:v>
      </x:c>
      <x:c r="L131" s="230" t="str">
        <x:v>railway sleeper brackets ; timber screws ; garden planters ; fence brackets ; timber rafter brackets ; garden accessories ; outdoor storage solutions</x:v>
      </x:c>
      <x:c r="M131" s="230" t="str">
        <x:v>Based in Norfolk, UK - Indoor Outdoors Design, Make and Sell Products for your Home and your Garden including Railway Sleeper Brackets, BBQs, Rustic Planters and Power Tool Storage</x:v>
      </x:c>
      <x:c r="N131" s="230" t="str">
        <x:v>https://app.brandsearch.co/brand-analysis/indooroutdoors.co.uk</x:v>
      </x:c>
    </x:row>
    <x:row r="132" ht="21" customHeight="1">
      <x:c r="A132" s="230" t="str">
        <x:v>GB</x:v>
      </x:c>
      <x:c r="B132" s="230" t="str">
        <x:v>parts4engines.com</x:v>
      </x:c>
      <x:c r="C132" s="230" t="str">
        <x:v>Automotive</x:v>
      </x:c>
      <x:c r="D132" s="231" t="n">
        <x:v>75789</x:v>
      </x:c>
      <x:c r="E132" s="231" t="n">
        <x:v>40</x:v>
      </x:c>
      <x:c r="F132" s="231" t="n">
        <x:v>0</x:v>
      </x:c>
      <x:c r="G132" s="232" t="n">
        <x:v>141.55</x:v>
      </x:c>
      <x:c r="H132" s="232" t="n">
        <x:f>G132/'Méthode'!$B$5</x:f>
        <x:v>123.78662002623525</x:v>
      </x:c>
      <x:c r="I132" s="232" t="n">
        <x:v>1</x:v>
      </x:c>
      <x:c r="J132" s="232" t="n">
        <x:v>7826</x:v>
      </x:c>
      <x:c r="K132" s="231" t="n">
        <x:v>2000</x:v>
      </x:c>
      <x:c r="L132" s="230" t="str">
        <x:v>engine parts ; water pumps ; oil filters ; fuel filters ; thermostat kits ; seal kits ; impellers</x:v>
      </x:c>
      <x:c r="M132" s="230" t="str">
        <x:v>Shop genuine &amp; aftermarket diesel engine parts for Perkins, Volvo Penta, Yanmar &amp; Kubota marine and industrial engines. Expert support, fast worldwide shipping and trusted by 80,000+ customers worldwide.</x:v>
      </x:c>
      <x:c r="N132" s="230" t="str">
        <x:v>https://app.brandsearch.co/brand-analysis/parts4engines.com</x:v>
      </x:c>
    </x:row>
    <x:row r="133" ht="21" customHeight="1">
      <x:c r="A133" s="230" t="str">
        <x:v>GB</x:v>
      </x:c>
      <x:c r="B133" s="230" t="str">
        <x:v>bobbinbikes.com</x:v>
      </x:c>
      <x:c r="C133" s="230" t="str">
        <x:v>Sports &amp; Outdoors</x:v>
      </x:c>
      <x:c r="D133" s="231" t="n">
        <x:v>67937</x:v>
      </x:c>
      <x:c r="E133" s="231" t="n">
        <x:v>40</x:v>
      </x:c>
      <x:c r="F133" s="231" t="n">
        <x:v>0</x:v>
      </x:c>
      <x:c r="G133" s="232" t="n">
        <x:v>130.19</x:v>
      </x:c>
      <x:c r="H133" s="232" t="n">
        <x:f>G133/'Méthode'!$B$5</x:f>
        <x:v>113.85220813292523</x:v>
      </x:c>
      <x:c r="I133" s="232" t="n">
        <x:v>2</x:v>
      </x:c>
      <x:c r="J133" s="232" t="n">
        <x:v>702</x:v>
      </x:c>
      <x:c r="K133" s="231" t="n">
        <x:v>114</x:v>
      </x:c>
      <x:c r="L133" s="230" t="str">
        <x:v>vintage-style bicycles ; kids balance bikes ; kids bikes ; bike helmets ; bike accessories ; bike bells ; bike carriers</x:v>
      </x:c>
      <x:c r="M133" s="230" t="str">
        <x:v>Find the perfect bike for you and the kids at Bobbin Bikes. We're Britain's best-loved leisure bike brand and we sell the best adult and kids bicycles online.</x:v>
      </x:c>
      <x:c r="N133" s="230" t="str">
        <x:v>https://app.brandsearch.co/brand-analysis/bobbinbikes.com</x:v>
      </x:c>
    </x:row>
    <x:row r="134" ht="21" customHeight="1">
      <x:c r="A134" s="230" t="str">
        <x:v>GB</x:v>
      </x:c>
      <x:c r="B134" s="230" t="str">
        <x:v>masseytractorparts.com</x:v>
      </x:c>
      <x:c r="C134" s="230" t="str">
        <x:v>Automotive</x:v>
      </x:c>
      <x:c r="D134" s="231" t="n">
        <x:v>41938</x:v>
      </x:c>
      <x:c r="E134" s="231" t="n">
        <x:v>40</x:v>
      </x:c>
      <x:c r="F134" s="231" t="n">
        <x:v>0</x:v>
      </x:c>
      <x:c r="G134" s="232" t="n">
        <x:v>179.25</x:v>
      </x:c>
      <x:c r="H134" s="232" t="n">
        <x:f>G134/'Méthode'!$B$5</x:f>
        <x:v>156.75557498906866</x:v>
      </x:c>
      <x:c r="I134" s="232" t="n">
        <x:v>0.03</x:v>
      </x:c>
      <x:c r="J134" s="232" t="n">
        <x:v>14776.02</x:v>
      </x:c>
      <x:c r="K134" s="231" t="n">
        <x:v>2000</x:v>
      </x:c>
      <x:c r="L134" s="230" t="str">
        <x:v>tractor parts ; tractor accessories ; workwear ; safety gear ; machinery parts</x:v>
      </x:c>
      <x:c r="M134" s="230" t="str">
        <x:v>Find the perfect Massey Ferguson tractor parts and order at Massey Tractor Parts. Buy a wide selection of genuine AGCO parts for Massey Ferguson tractors &amp; rare Massey Ferguson models. Expert tech support &amp; 12-month warranty. Order online for fast delivery of genuine parts.</x:v>
      </x:c>
      <x:c r="N134" s="230" t="str">
        <x:v>https://app.brandsearch.co/brand-analysis/masseytractorparts.com</x:v>
      </x:c>
    </x:row>
    <x:row r="135" ht="21" customHeight="1">
      <x:c r="A135" s="230" t="str">
        <x:v>GB</x:v>
      </x:c>
      <x:c r="B135" s="230" t="str">
        <x:v>bouncepad.com</x:v>
      </x:c>
      <x:c r="C135" s="230" t="str">
        <x:v>Electronics &amp; Tech</x:v>
      </x:c>
      <x:c r="D135" s="231" t="n">
        <x:v>39775</x:v>
      </x:c>
      <x:c r="E135" s="231" t="n">
        <x:v>40</x:v>
      </x:c>
      <x:c r="F135" s="231" t="n">
        <x:v>0</x:v>
      </x:c>
      <x:c r="G135" s="232" t="n">
        <x:v>313.07</x:v>
      </x:c>
      <x:c r="H135" s="232" t="n">
        <x:f>G135/'Méthode'!$B$5</x:f>
        <x:v>273.78224748578924</x:v>
      </x:c>
      <x:c r="I135" s="232" t="n">
        <x:v>13.34</x:v>
      </x:c>
      <x:c r="J135" s="232" t="n">
        <x:v>773.61</x:v>
      </x:c>
      <x:c r="K135" s="231" t="n">
        <x:v>167</x:v>
      </x:c>
      <x:c r="L135" s="230" t="str">
        <x:v>tablet kiosks ; stands ; mounts ; display accessories ; usb cables</x:v>
      </x:c>
      <x:c r="M135" s="230" t="str">
        <x:v>Bouncepad is the global market leader in tablet kiosks &amp; stands since 2011, renowned for high quality products &amp; excellent customer service. Shop our product range here!</x:v>
      </x:c>
      <x:c r="N135" s="230" t="str">
        <x:v>https://app.brandsearch.co/brand-analysis/bouncepad.com</x:v>
      </x:c>
    </x:row>
    <x:row r="136" ht="21" customHeight="1">
      <x:c r="A136" s="230" t="str">
        <x:v>GB</x:v>
      </x:c>
      <x:c r="B136" s="230" t="str">
        <x:v>tradewarehouse.co.uk</x:v>
      </x:c>
      <x:c r="C136" s="230" t="str">
        <x:v>Home &amp; Garden</x:v>
      </x:c>
      <x:c r="D136" s="231" t="n">
        <x:v>37822</x:v>
      </x:c>
      <x:c r="E136" s="231" t="n">
        <x:v>40</x:v>
      </x:c>
      <x:c r="F136" s="231" t="n">
        <x:v>0</x:v>
      </x:c>
      <x:c r="G136" s="232" t="n">
        <x:v>311.7</x:v>
      </x:c>
      <x:c r="H136" s="232" t="n">
        <x:f>G136/'Méthode'!$B$5</x:f>
        <x:v>272.58417140358546</x:v>
      </x:c>
      <x:c r="I136" s="232" t="n">
        <x:v>0.03</x:v>
      </x:c>
      <x:c r="J136" s="232" t="n">
        <x:v>22853.36</x:v>
      </x:c>
      <x:c r="K136" s="231" t="n">
        <x:v>2000</x:v>
      </x:c>
      <x:c r="L136" s="230" t="str">
        <x:v>galvanised steel gutters ; downpipes ; facia brackets ; wall cladding ; screws and fasteners ; gutter joints and accessories ; construction brackets</x:v>
      </x:c>
      <x:c r="M136" s="230" t="str">
        <x:v>We supply a wide range of goods in the home, garden and construction niches. We pride ourselves on good customer service and quick delivery.</x:v>
      </x:c>
      <x:c r="N136" s="230" t="str">
        <x:v>https://app.brandsearch.co/brand-analysis/tradewarehouse.co.uk</x:v>
      </x:c>
    </x:row>
    <x:row r="137" ht="21" customHeight="1">
      <x:c r="A137" s="230" t="str">
        <x:v>GB</x:v>
      </x:c>
      <x:c r="B137" s="230" t="str">
        <x:v>ukcustomcovers.com</x:v>
      </x:c>
      <x:c r="C137" s="230" t="str">
        <x:v>Automotive</x:v>
      </x:c>
      <x:c r="D137" s="231" t="n">
        <x:v>28819</x:v>
      </x:c>
      <x:c r="E137" s="231" t="n">
        <x:v>40</x:v>
      </x:c>
      <x:c r="F137" s="231" t="n">
        <x:v>0</x:v>
      </x:c>
      <x:c r="G137" s="232" t="n">
        <x:v>131.26</x:v>
      </x:c>
      <x:c r="H137" s="232" t="n">
        <x:f>G137/'Méthode'!$B$5</x:f>
        <x:v>114.78793178836904</x:v>
      </x:c>
      <x:c r="I137" s="232" t="n">
        <x:v>19.94</x:v>
      </x:c>
      <x:c r="J137" s="232" t="n">
        <x:v>800.22</x:v>
      </x:c>
      <x:c r="K137" s="231" t="n">
        <x:v>677</x:v>
      </x:c>
      <x:c r="L137" s="230" t="str">
        <x:v>car covers ; seat covers ; floor mats ; boot liners ; vehicle accessories</x:v>
      </x:c>
      <x:c r="M137" s="230" t="str">
        <x:v>Shop quality custom covers for all vehicle makes &amp; models. Car covers, seat covers, boot liners &amp; more. 100% tailored design. Strong, durable &amp; waterproof Materials. Next day delivery available, 30-day return policy. Our price promise ensures you get the best deals.</x:v>
      </x:c>
      <x:c r="N137" s="230" t="str">
        <x:v>https://app.brandsearch.co/brand-analysis/ukcustomcovers.com</x:v>
      </x:c>
    </x:row>
    <x:row r="138" ht="21" customHeight="1">
      <x:c r="A138" s="230" t="str">
        <x:v>GB</x:v>
      </x:c>
      <x:c r="B138" s="230" t="str">
        <x:v>www.adk-security.com</x:v>
      </x:c>
      <x:c r="C138" s="230" t="str">
        <x:v>Electronics &amp; Tech</x:v>
      </x:c>
      <x:c r="D138" s="231" t="n">
        <x:v>20398</x:v>
      </x:c>
      <x:c r="E138" s="231" t="n">
        <x:v>40</x:v>
      </x:c>
      <x:c r="F138" s="231" t="n">
        <x:v>0</x:v>
      </x:c>
      <x:c r="G138" s="232" t="n">
        <x:v>143.97</x:v>
      </x:c>
      <x:c r="H138" s="232" t="n">
        <x:f>G138/'Méthode'!$B$5</x:f>
        <x:v>125.90292960209882</x:v>
      </x:c>
      <x:c r="I138" s="232" t="n">
        <x:v>0.27</x:v>
      </x:c>
      <x:c r="J138" s="232" t="n">
        <x:v>2576.23</x:v>
      </x:c>
      <x:c r="K138" s="231" t="n">
        <x:v>2000</x:v>
      </x:c>
      <x:c r="L138" s="230" t="str">
        <x:v>cctv cameras ; burglar alarms ; fire safety systems ; networking solutions ; access control devices ; surveillance hard drives ; power supplies ; video baluns</x:v>
      </x:c>
      <x:c r="M138" s="230" t="str">
        <x:v>ADK Security is a trusted distributor of CCTV cameras, burglar alarms, fire safety systems, networking solutions, and access control devices. Explore our wide range of products to enhance the security of your home or business.</x:v>
      </x:c>
      <x:c r="N138" s="230" t="str">
        <x:v>https://app.brandsearch.co/brand-analysis/adk-security.com</x:v>
      </x:c>
    </x:row>
    <x:row r="139" ht="21" customHeight="1">
      <x:c r="A139" s="230" t="str">
        <x:v>GB</x:v>
      </x:c>
      <x:c r="B139" s="230" t="str">
        <x:v>www.decor-interiors.net</x:v>
      </x:c>
      <x:c r="C139" s="230" t="str">
        <x:v>Home &amp; Garden</x:v>
      </x:c>
      <x:c r="D139" s="231" t="n">
        <x:v>13697</x:v>
      </x:c>
      <x:c r="E139" s="231" t="n">
        <x:v>40</x:v>
      </x:c>
      <x:c r="F139" s="231" t="n">
        <x:v>0</x:v>
      </x:c>
      <x:c r="G139" s="232" t="n">
        <x:v>128.16</x:v>
      </x:c>
      <x:c r="H139" s="232" t="n">
        <x:f>G139/'Méthode'!$B$5</x:f>
        <x:v>112.07695671184959</x:v>
      </x:c>
      <x:c r="I139" s="232" t="n">
        <x:v>1.33</x:v>
      </x:c>
      <x:c r="J139" s="232" t="n">
        <x:v>5333.84</x:v>
      </x:c>
      <x:c r="K139" s="231" t="n">
        <x:v>2000</x:v>
      </x:c>
      <x:c r="L139" s="230" t="str">
        <x:v>furniture ; lighting ; home decor ; wallpapers ; paints ; furniture paint ; finishing coats ; cleaning products</x:v>
      </x:c>
      <x:c r="M139" s="230" t="str">
        <x:v>Shop Decor Interiors for stylish furniture, lighting &amp; home accessories. Timeless design &amp; quality pieces to transform your home. Order online today.</x:v>
      </x:c>
      <x:c r="N139" s="230" t="str">
        <x:v>https://app.brandsearch.co/brand-analysis/decor-interiors.net</x:v>
      </x:c>
    </x:row>
    <x:row r="140" ht="21" customHeight="1">
      <x:c r="A140" s="230" t="str">
        <x:v>GB</x:v>
      </x:c>
      <x:c r="B140" s="230" t="str">
        <x:v>oobuy.co.uk</x:v>
      </x:c>
      <x:c r="C140" s="230" t="str">
        <x:v>Electronics &amp; Tech</x:v>
      </x:c>
      <x:c r="D140" s="231" t="n">
        <x:v>12574</x:v>
      </x:c>
      <x:c r="E140" s="231" t="n">
        <x:v>40</x:v>
      </x:c>
      <x:c r="F140" s="231" t="n">
        <x:v>0</x:v>
      </x:c>
      <x:c r="G140" s="232" t="n">
        <x:v>310.64</x:v>
      </x:c>
      <x:c r="H140" s="232" t="n">
        <x:f>G140/'Méthode'!$B$5</x:f>
        <x:v>271.65719282903365</x:v>
      </x:c>
      <x:c r="I140" s="232" t="n">
        <x:v>66.62</x:v>
      </x:c>
      <x:c r="J140" s="232" t="n">
        <x:v>773.53</x:v>
      </x:c>
      <x:c r="K140" s="231" t="n">
        <x:v>137</x:v>
      </x:c>
      <x:c r="L140" s="230" t="str">
        <x:v>smart watches ; fitness trackers ; gps sports watches ; cycling computers ; navigation devices</x:v>
      </x:c>
      <x:c r="M140" s="230" t="str">
        <x:v>ooBuy.co.uk | Official Garmin Newly Overhauled Products | Authorised Retailer, All items are UK and In Stock with free Delivery</x:v>
      </x:c>
      <x:c r="N140" s="230" t="str">
        <x:v>https://app.brandsearch.co/brand-analysis/oobuy.co.uk</x:v>
      </x:c>
    </x:row>
    <x:row r="141" ht="21" customHeight="1">
      <x:c r="A141" s="230" t="str">
        <x:v>GB</x:v>
      </x:c>
      <x:c r="B141" s="230" t="str">
        <x:v>www.flowershopsnetwork.co.uk</x:v>
      </x:c>
      <x:c r="C141" s="230" t="str">
        <x:v>Other</x:v>
      </x:c>
      <x:c r="D141" s="231" t="n">
        <x:v>11817</x:v>
      </x:c>
      <x:c r="E141" s="231" t="n">
        <x:v>40</x:v>
      </x:c>
      <x:c r="F141" s="231" t="n">
        <x:v>0</x:v>
      </x:c>
      <x:c r="G141" s="232" t="n">
        <x:v>98.44</x:v>
      </x:c>
      <x:c r="H141" s="232" t="n">
        <x:f>G141/'Méthode'!$B$5</x:f>
        <x:v>86.08657630083079</x:v>
      </x:c>
      <x:c r="I141" s="232" t="n">
        <x:v>17.32</x:v>
      </x:c>
      <x:c r="J141" s="232" t="n">
        <x:v>433.44</x:v>
      </x:c>
      <x:c r="K141" s="231" t="n">
        <x:v>109</x:v>
      </x:c>
      <x:c r="L141" s="230" t="str">
        <x:v>flower bouquets ; gift boxes ; chocolates ; vases ; gift baskets</x:v>
      </x:c>
      <x:c r="M141" s="230" t="str">
        <x:v>Flower Shops Network | The #1 Same Day Flower Delivery Network. Order online before 2pm today for beautiful flowers delivered on the same day by local florists. Experience the best in fresh, vibrant bouquets for every occasion, crafted and delivered with care directly to your door.</x:v>
      </x:c>
      <x:c r="N141" s="230" t="str">
        <x:v>https://app.brandsearch.co/brand-analysis/flowershopsnetwork.co.uk</x:v>
      </x:c>
    </x:row>
    <x:row r="142" ht="21" customHeight="1">
      <x:c r="A142" s="230" t="str">
        <x:v>GB</x:v>
      </x:c>
      <x:c r="B142" s="230" t="str">
        <x:v>carfurnisher.com</x:v>
      </x:c>
      <x:c r="C142" s="230" t="str">
        <x:v>Automotive</x:v>
      </x:c>
      <x:c r="D142" s="231" t="n">
        <x:v>11643</x:v>
      </x:c>
      <x:c r="E142" s="231" t="n">
        <x:v>40</x:v>
      </x:c>
      <x:c r="F142" s="231" t="n">
        <x:v>0</x:v>
      </x:c>
      <x:c r="G142" s="232" t="n">
        <x:v>354.08</x:v>
      </x:c>
      <x:c r="H142" s="232" t="n">
        <x:f>G142/'Méthode'!$B$5</x:f>
        <x:v>309.64582422387406</x:v>
      </x:c>
      <x:c r="I142" s="232" t="n">
        <x:v>5</x:v>
      </x:c>
      <x:c r="J142" s="232" t="n">
        <x:v>9801</x:v>
      </x:c>
      <x:c r="K142" s="231" t="n">
        <x:v>2000</x:v>
      </x:c>
      <x:c r="L142" s="230" t="str">
        <x:v>car seat covers ; steering wheel covers ; car interior accessories ; car seat heaters ; custom car covers ; car interior upgrade kits</x:v>
      </x:c>
      <x:c r="M142" s="230" t="str">
        <x:v>Explore a wide range of premium car seat covers at Carfurnisher. Experience quality, durability, comfort, and style with top-tier designer products.</x:v>
      </x:c>
      <x:c r="N142" s="230" t="str">
        <x:v>https://app.brandsearch.co/brand-analysis/carfurnisher.com</x:v>
      </x:c>
    </x:row>
    <x:row r="143" ht="21" customHeight="1">
      <x:c r="A143" s="230" t="str">
        <x:v>GB</x:v>
      </x:c>
      <x:c r="B143" s="230" t="str">
        <x:v>dennercashmere.co.uk</x:v>
      </x:c>
      <x:c r="C143" s="230" t="str">
        <x:v>Fashion</x:v>
      </x:c>
      <x:c r="D143" s="231" t="n">
        <x:v>11492</x:v>
      </x:c>
      <x:c r="E143" s="231" t="n">
        <x:v>40</x:v>
      </x:c>
      <x:c r="F143" s="231" t="n">
        <x:v>0</x:v>
      </x:c>
      <x:c r="G143" s="232" t="n">
        <x:v>204.15</x:v>
      </x:c>
      <x:c r="H143" s="232" t="n">
        <x:f>G143/'Méthode'!$B$5</x:f>
        <x:v>178.5308264101443</x:v>
      </x:c>
      <x:c r="I143" s="232" t="n">
        <x:v>29</x:v>
      </x:c>
      <x:c r="J143" s="232" t="n">
        <x:v>1946</x:v>
      </x:c>
      <x:c r="K143" s="231" t="n">
        <x:v>126</x:v>
      </x:c>
      <x:c r="L143" s="230" t="str">
        <x:v>cashmere clothing ; sweaters ; cardigans ; accessories ; storage bags ; wrist warmers ; gift wrapping</x:v>
      </x:c>
      <x:c r="M143" s="230" t="str">
        <x:v>Rooted in conscious luxury, Denner Cashmere blends sustainable practices with timeless natural fibres, crafted with care in Mongolia since 1994.</x:v>
      </x:c>
      <x:c r="N143" s="230" t="str">
        <x:v>https://app.brandsearch.co/brand-analysis/dennercashmere.co.uk</x:v>
      </x:c>
    </x:row>
    <x:row r="144" ht="21" customHeight="1">
      <x:c r="A144" s="230" t="str">
        <x:v>GB</x:v>
      </x:c>
      <x:c r="B144" s="230" t="str">
        <x:v>www.dashvision.co.uk</x:v>
      </x:c>
      <x:c r="C144" s="230" t="str">
        <x:v>Automotive</x:v>
      </x:c>
      <x:c r="D144" s="231" t="n">
        <x:v>10486</x:v>
      </x:c>
      <x:c r="E144" s="231" t="n">
        <x:v>40</x:v>
      </x:c>
      <x:c r="F144" s="231" t="n">
        <x:v>0</x:v>
      </x:c>
      <x:c r="G144" s="232" t="n">
        <x:v>97.46</x:v>
      </x:c>
      <x:c r="H144" s="232" t="n">
        <x:f>G144/'Méthode'!$B$5</x:f>
        <x:v>85.22955837341495</x:v>
      </x:c>
      <x:c r="I144" s="232" t="n">
        <x:v>14</x:v>
      </x:c>
      <x:c r="J144" s="232" t="n">
        <x:v>300</x:v>
      </x:c>
      <x:c r="K144" s="231" t="n">
        <x:v>169</x:v>
      </x:c>
      <x:c r="L144" s="230" t="str">
        <x:v>dash cams ; car security cameras ; helmet cameras ; bike cameras ; hard wiring kits</x:v>
      </x:c>
      <x:c r="M144" s="230" t="str">
        <x:v>Buy premium dash cams from the UK's #1 dash cam provider. Free next-day delivery! Feel secure on the road and save up to 29% on insurance. Order now!</x:v>
      </x:c>
      <x:c r="N144" s="230" t="str">
        <x:v>https://app.brandsearch.co/brand-analysis/dashvision.co.uk</x:v>
      </x:c>
    </x:row>
    <x:row r="145" ht="21" customHeight="1">
      <x:c r="A145" s="230" t="str">
        <x:v>GB</x:v>
      </x:c>
      <x:c r="B145" s="230" t="str">
        <x:v>travall.de</x:v>
      </x:c>
      <x:c r="C145" s="230" t="str">
        <x:v>Automotive</x:v>
      </x:c>
      <x:c r="D145" s="231" t="n">
        <x:v>9755</x:v>
      </x:c>
      <x:c r="E145" s="231" t="n">
        <x:v>40</x:v>
      </x:c>
      <x:c r="F145" s="231" t="n">
        <x:v>0</x:v>
      </x:c>
      <x:c r="G145" s="232" t="n">
        <x:v>139.58</x:v>
      </x:c>
      <x:c r="H145" s="232" t="n">
        <x:f>G145/'Méthode'!$B$5</x:f>
        <x:v>122.0638390905116</x:v>
      </x:c>
      <x:c r="I145" s="232" t="n">
        <x:v>27.35</x:v>
      </x:c>
      <x:c r="J145" s="232" t="n">
        <x:v>590.33</x:v>
      </x:c>
      <x:c r="K145" s="231" t="n">
        <x:v>2000</x:v>
      </x:c>
      <x:c r="L145" s="230" t="str">
        <x:v>dog guards ; cargo mats ; trunk liners ; car partition screens ; auto accessories</x:v>
      </x:c>
      <x:c r="M145" s="230" t="str">
        <x:v>Travall bietet eine Reihe von Autozubehör an, darunter Hundegitter, Ladekantenschutze, Trenngitter Kofferraumwannen und anderes Autozubehör.</x:v>
      </x:c>
      <x:c r="N145" s="230" t="str">
        <x:v>https://app.brandsearch.co/brand-analysis/travall.de</x:v>
      </x:c>
    </x:row>
    <x:row r="146" ht="21" customHeight="1">
      <x:c r="A146" s="230" t="str">
        <x:v>GB</x:v>
      </x:c>
      <x:c r="B146" s="230" t="str">
        <x:v>directcarcovers.com</x:v>
      </x:c>
      <x:c r="C146" s="230" t="str">
        <x:v>Automotive</x:v>
      </x:c>
      <x:c r="D146" s="231" t="n">
        <x:v>5718</x:v>
      </x:c>
      <x:c r="E146" s="231" t="n">
        <x:v>40</x:v>
      </x:c>
      <x:c r="F146" s="231" t="n">
        <x:v>0</x:v>
      </x:c>
      <x:c r="G146" s="232" t="n">
        <x:v>210.61</x:v>
      </x:c>
      <x:c r="H146" s="232" t="n">
        <x:f>G146/'Méthode'!$B$5</x:f>
        <x:v>184.18014866637517</x:v>
      </x:c>
      <x:c r="I146" s="232" t="n">
        <x:v>6.66</x:v>
      </x:c>
      <x:c r="J146" s="232" t="n">
        <x:v>520.16</x:v>
      </x:c>
      <x:c r="K146" s="231" t="n">
        <x:v>2000</x:v>
      </x:c>
      <x:c r="L146" s="230" t="str">
        <x:v>car covers ; outdoor car covers ; indoor car covers ; waterproof car covers ; breathable car covers ; custom car covers</x:v>
      </x:c>
      <x:c r="M146" s="230" t="str">
        <x:v>Fully tailor-made purpose built car covers. Suitable for Outdoor and Indoor use. Free UK Delivery with hundreds of 5 Star Reviews.</x:v>
      </x:c>
      <x:c r="N146" s="230" t="str">
        <x:v>https://app.brandsearch.co/brand-analysis/directcarcovers.com</x:v>
      </x:c>
    </x:row>
    <x:row r="147" ht="21" customHeight="1">
      <x:c r="A147" s="230" t="str">
        <x:v>GB</x:v>
      </x:c>
      <x:c r="B147" s="230" t="str">
        <x:v>roofrack.co.uk</x:v>
      </x:c>
      <x:c r="C147" s="230" t="str">
        <x:v>Automotive</x:v>
      </x:c>
      <x:c r="D147" s="231" t="n">
        <x:v>4988</x:v>
      </x:c>
      <x:c r="E147" s="231" t="n">
        <x:v>40</x:v>
      </x:c>
      <x:c r="F147" s="231" t="n">
        <x:v>0</x:v>
      </x:c>
      <x:c r="G147" s="232" t="n">
        <x:v>440.2</x:v>
      </x:c>
      <x:c r="H147" s="232" t="n">
        <x:f>G147/'Méthode'!$B$5</x:f>
        <x:v>384.958460865763</x:v>
      </x:c>
      <x:c r="I147" s="232" t="n">
        <x:v>10.4</x:v>
      </x:c>
      <x:c r="J147" s="232" t="n">
        <x:v>5008.42</x:v>
      </x:c>
      <x:c r="K147" s="231" t="n">
        <x:v>746</x:v>
      </x:c>
      <x:c r="L147" s="230" t="str">
        <x:v>roof racks ; roof bars ; van racking ; accessories ; ladder holders ; pipe carriers ; clamps</x:v>
      </x:c>
      <x:c r="M147" s="230" t="str">
        <x:v>Supplying van roof racks, roof bars, internal racking and accessories for the UK's favourite vans. All items available with free next day shipping with quality and high performance guaranteed.</x:v>
      </x:c>
      <x:c r="N147" s="230" t="str">
        <x:v>https://app.brandsearch.co/brand-analysis/roofrack.co.uk</x:v>
      </x:c>
    </x:row>
    <x:row r="148" ht="21" customHeight="1">
      <x:c r="A148" s="230" t="str">
        <x:v>GB</x:v>
      </x:c>
      <x:c r="B148" s="230" t="str">
        <x:v>www.dashvision.ie</x:v>
      </x:c>
      <x:c r="C148" s="230" t="str">
        <x:v>Automotive</x:v>
      </x:c>
      <x:c r="D148" s="231" t="n">
        <x:v>1527</x:v>
      </x:c>
      <x:c r="E148" s="231" t="n">
        <x:v>40</x:v>
      </x:c>
      <x:c r="F148" s="231" t="n">
        <x:v>0</x:v>
      </x:c>
      <x:c r="G148" s="232" t="n">
        <x:v>101.62</x:v>
      </x:c>
      <x:c r="H148" s="232" t="n">
        <x:f>G148/'Méthode'!$B$5</x:f>
        <x:v>88.86751202448623</x:v>
      </x:c>
      <x:c r="I148" s="232" t="n">
        <x:v>13.65</x:v>
      </x:c>
      <x:c r="J148" s="232" t="n">
        <x:v>285.47</x:v>
      </x:c>
      <x:c r="K148" s="231" t="n">
        <x:v>166</x:v>
      </x:c>
      <x:c r="L148" s="230" t="str">
        <x:v>dash cams ; car safety accessories ; hard wiring kits ; helmet cameras ; cyclist cameras</x:v>
      </x:c>
      <x:c r="M148" s="230" t="str">
        <x:v>Buy premium dash cams from the UK's #1 dash cam provider. Free next-day delivery! Feel secure on the road and save up to 29% on insurance. Order now!</x:v>
      </x:c>
      <x:c r="N148" s="230" t="str">
        <x:v>https://app.brandsearch.co/brand-analysis/dashvision.ie</x:v>
      </x:c>
    </x:row>
    <x:row r="149" ht="21" customHeight="1">
      <x:c r="A149" s="230" t="str">
        <x:v>IT</x:v>
      </x:c>
      <x:c r="B149" s="230" t="str">
        <x:v>slamjam.com</x:v>
      </x:c>
      <x:c r="C149" s="230" t="str">
        <x:v>Fashion</x:v>
      </x:c>
      <x:c r="D149" s="231" t="n">
        <x:v>732679</x:v>
      </x:c>
      <x:c r="E149" s="231" t="n">
        <x:v>40</x:v>
      </x:c>
      <x:c r="F149" s="231" t="n">
        <x:v>0</x:v>
      </x:c>
      <x:c r="G149" s="232" t="n">
        <x:v>170.73</x:v>
      </x:c>
      <x:c r="H149" s="232" t="n">
        <x:f>G149/'Méthode'!$B$5</x:f>
        <x:v>149.30476606908613</x:v>
      </x:c>
      <x:c r="I149" s="232" t="n">
        <x:v>7.99</x:v>
      </x:c>
      <x:c r="J149" s="232" t="n">
        <x:v>6737.39</x:v>
      </x:c>
      <x:c r="K149" s="231" t="n">
        <x:v>2000</x:v>
      </x:c>
      <x:c r="L149" s="230" t="str">
        <x:v>sneakers ; streetwear clothing ; urban apparel ; hats ; accessories</x:v>
      </x:c>
      <x:c r="M149" s="230" t="str">
        <x:v>Slam jam promotes clothing and goods that represent urban subcultural attitudes by creating environments, products and experiences that bring together the community. As a retail concept, it counts several namesake spaces across different platforms and geographies.</x:v>
      </x:c>
      <x:c r="N149" s="230" t="str">
        <x:v>https://app.brandsearch.co/brand-analysis/slamjam.com</x:v>
      </x:c>
    </x:row>
    <x:row r="150" ht="21" customHeight="1">
      <x:c r="A150" s="230" t="str">
        <x:v>IT</x:v>
      </x:c>
      <x:c r="B150" s="230" t="str">
        <x:v>www.moschino.com</x:v>
      </x:c>
      <x:c r="C150" s="230" t="str">
        <x:v>Fashion</x:v>
      </x:c>
      <x:c r="D150" s="231" t="n">
        <x:v>222521</x:v>
      </x:c>
      <x:c r="E150" s="231" t="n">
        <x:v>40</x:v>
      </x:c>
      <x:c r="F150" s="231" t="n">
        <x:v>0</x:v>
      </x:c>
      <x:c r="G150" s="232" t="n">
        <x:v>375.31</x:v>
      </x:c>
      <x:c r="H150" s="232" t="n">
        <x:f>G150/'Méthode'!$B$5</x:f>
        <x:v>328.21163095758635</x:v>
      </x:c>
      <x:c r="I150" s="232" t="n">
        <x:v>31.4</x:v>
      </x:c>
      <x:c r="J150" s="232" t="n">
        <x:v>3996.91</x:v>
      </x:c>
      <x:c r="K150" s="231" t="n">
        <x:v>1247</x:v>
      </x:c>
      <x:c r="L150" s="230" t="str">
        <x:v>designer clothing ; handbags ; shoes ; accessories ; fragrances ; sunglasses ; apparel sets</x:v>
      </x:c>
      <x:c r="M150" s="230" t="str">
        <x:v>Moschino è un brand fashion italiano specializzato in abbigliamento, accessori e fragranze, celebre per un’estetica distintiva basata su ironia, sperimentazione e linguaggio pop. Il marchio è presente globalmente attraverso boutique, e-commerce e partner retail.</x:v>
      </x:c>
      <x:c r="N150" s="230" t="str">
        <x:v>https://app.brandsearch.co/brand-analysis/moschino.com</x:v>
      </x:c>
    </x:row>
    <x:row r="151" ht="21" customHeight="1">
      <x:c r="A151" s="230" t="str">
        <x:v>IT</x:v>
      </x:c>
      <x:c r="B151" s="230" t="str">
        <x:v>www.eye-oo.com</x:v>
      </x:c>
      <x:c r="C151" s="230" t="str">
        <x:v>Fashion</x:v>
      </x:c>
      <x:c r="D151" s="231" t="n">
        <x:v>162507</x:v>
      </x:c>
      <x:c r="E151" s="231" t="n">
        <x:v>40</x:v>
      </x:c>
      <x:c r="F151" s="231" t="n">
        <x:v>0</x:v>
      </x:c>
      <x:c r="G151" s="232" t="n">
        <x:v>303.79</x:v>
      </x:c>
      <x:c r="H151" s="232" t="n">
        <x:f>G151/'Méthode'!$B$5</x:f>
        <x:v>265.6668124180149</x:v>
      </x:c>
      <x:c r="I151" s="232" t="n">
        <x:v>12</x:v>
      </x:c>
      <x:c r="J151" s="232" t="n">
        <x:v>31000</x:v>
      </x:c>
      <x:c r="K151" s="231" t="n">
        <x:v>2000</x:v>
      </x:c>
      <x:c r="L151" s="230" t="str">
        <x:v>luxury sunglasses ; designer optical frames ; prescription lenses ; sunglasses accessories</x:v>
      </x:c>
      <x:c r="M151" s="230" t="str">
        <x:v>Shop the latest trends in luxury sunglasses and optical frames from a leading online destination for designer eyewear. Enjoy express worldwide shipping and t...</x:v>
      </x:c>
      <x:c r="N151" s="230" t="str">
        <x:v>https://app.brandsearch.co/brand-analysis/eye-oo.com</x:v>
      </x:c>
    </x:row>
    <x:row r="152" ht="21" customHeight="1">
      <x:c r="A152" s="230" t="str">
        <x:v>IT</x:v>
      </x:c>
      <x:c r="B152" s="230" t="str">
        <x:v>commerciovirtuoso.it</x:v>
      </x:c>
      <x:c r="C152" s="230" t="str">
        <x:v>Fashion</x:v>
      </x:c>
      <x:c r="D152" s="231" t="n">
        <x:v>153564</x:v>
      </x:c>
      <x:c r="E152" s="231" t="n">
        <x:v>40</x:v>
      </x:c>
      <x:c r="F152" s="231" t="n">
        <x:v>0</x:v>
      </x:c>
      <x:c r="G152" s="232" t="n">
        <x:v>137.1</x:v>
      </x:c>
      <x:c r="H152" s="232" t="n">
        <x:f>G152/'Méthode'!$B$5</x:f>
        <x:v>119.89505902929602</x:v>
      </x:c>
      <x:c r="I152" s="232" t="n">
        <x:v>0.01</x:v>
      </x:c>
      <x:c r="J152" s="232" t="n">
        <x:v>639665.55</x:v>
      </x:c>
      <x:c r="K152" s="231" t="n">
        <x:v>2000</x:v>
      </x:c>
      <x:c r="L152" s="230" t="str">
        <x:v>clothing ; makeup ; food products ; home textiles ; cosplay costumes ; hobby &amp; craft supplies ; gourmet food</x:v>
      </x:c>
      <x:c r="M152" s="230" t="str">
        <x:v>Scopri milioni di prodotti in moda, bellezza, fai da te, arredamento. Il Marketplace AI che ti connette ai migliori negozi italiani.</x:v>
      </x:c>
      <x:c r="N152" s="230" t="str">
        <x:v>https://app.brandsearch.co/brand-analysis/commerciovirtuoso.it</x:v>
      </x:c>
    </x:row>
    <x:row r="153" ht="21" customHeight="1">
      <x:c r="A153" s="230" t="str">
        <x:v>IT</x:v>
      </x:c>
      <x:c r="B153" s="230" t="str">
        <x:v>lanieri.com</x:v>
      </x:c>
      <x:c r="C153" s="230" t="str">
        <x:v>Fashion</x:v>
      </x:c>
      <x:c r="D153" s="231" t="n">
        <x:v>101210</x:v>
      </x:c>
      <x:c r="E153" s="231" t="n">
        <x:v>40</x:v>
      </x:c>
      <x:c r="F153" s="231" t="n">
        <x:v>0</x:v>
      </x:c>
      <x:c r="G153" s="232" t="n">
        <x:v>300.96</x:v>
      </x:c>
      <x:c r="H153" s="232" t="n">
        <x:f>G153/'Méthode'!$B$5</x:f>
        <x:v>263.1919545255794</x:v>
      </x:c>
      <x:c r="I153" s="232" t="n">
        <x:v>11.42</x:v>
      </x:c>
      <x:c r="J153" s="232" t="n">
        <x:v>2740.78</x:v>
      </x:c>
      <x:c r="K153" s="231" t="n">
        <x:v>1805</x:v>
      </x:c>
      <x:c r="L153" s="230" t="str">
        <x:v>custom tailored suits ; dress shirts ; blazers ; accessories ; overcoats</x:v>
      </x:c>
      <x:c r="M153" s="230" t="str">
        <x:v>Lanieri crea abbigliamento da uomo su misura, confezionato con tessuti dei migliori lanifici italiani. Abiti, camicie, pantaloni e capispalla personalizzabili. Scopri la qualità sartoriale di Lanieri!</x:v>
      </x:c>
      <x:c r="N153" s="230" t="str">
        <x:v>https://app.brandsearch.co/brand-analysis/lanieri.com</x:v>
      </x:c>
    </x:row>
    <x:row r="154" ht="21" customHeight="1">
      <x:c r="A154" s="230" t="str">
        <x:v>IT</x:v>
      </x:c>
      <x:c r="B154" s="230" t="str">
        <x:v>stimm.com</x:v>
      </x:c>
      <x:c r="C154" s="230" t="str">
        <x:v>Fashion</x:v>
      </x:c>
      <x:c r="D154" s="231" t="n">
        <x:v>82375</x:v>
      </x:c>
      <x:c r="E154" s="231" t="n">
        <x:v>40</x:v>
      </x:c>
      <x:c r="F154" s="231" t="n">
        <x:v>0</x:v>
      </x:c>
      <x:c r="G154" s="232" t="n">
        <x:v>141.1</x:v>
      </x:c>
      <x:c r="H154" s="232" t="n">
        <x:f>G154/'Méthode'!$B$5</x:f>
        <x:v>123.39309138609532</x:v>
      </x:c>
      <x:c r="I154" s="232" t="n">
        <x:v>1.14</x:v>
      </x:c>
      <x:c r="J154" s="232" t="n">
        <x:v>1141.96</x:v>
      </x:c>
      <x:c r="K154" s="231" t="n">
        <x:v>2000</x:v>
      </x:c>
      <x:c r="L154" s="230" t="str">
        <x:v>sneakers ; loafers ; casual shoes ; fashion accessories ; footwear</x:v>
      </x:c>
      <x:c r="M154" s="230" t="str">
        <x:v>STIMM da quasi 50 anni è riferimento nell’ambito del retail multimarca, oggi conta 7 concept store nelle province di Treviso, Belluno e Pordenone</x:v>
      </x:c>
      <x:c r="N154" s="230" t="str">
        <x:v>https://app.brandsearch.co/brand-analysis/stimm.com</x:v>
      </x:c>
    </x:row>
    <x:row r="155" ht="21" customHeight="1">
      <x:c r="A155" s="230" t="str">
        <x:v>IT</x:v>
      </x:c>
      <x:c r="B155" s="230" t="str">
        <x:v>www.otticanet.it</x:v>
      </x:c>
      <x:c r="C155" s="230" t="str">
        <x:v>Fashion</x:v>
      </x:c>
      <x:c r="D155" s="231" t="n">
        <x:v>76199</x:v>
      </x:c>
      <x:c r="E155" s="231" t="n">
        <x:v>40</x:v>
      </x:c>
      <x:c r="F155" s="231" t="n">
        <x:v>0</x:v>
      </x:c>
      <x:c r="G155" s="232" t="n">
        <x:v>320.31</x:v>
      </x:c>
      <x:c r="H155" s="232" t="n">
        <x:f>G155/'Méthode'!$B$5</x:f>
        <x:v>280.113686051596</x:v>
      </x:c>
      <x:c r="I155" s="232" t="n">
        <x:v>13.7</x:v>
      </x:c>
      <x:c r="J155" s="232" t="n">
        <x:v>13703.59</x:v>
      </x:c>
      <x:c r="K155" s="231" t="n">
        <x:v>2000</x:v>
      </x:c>
      <x:c r="L155" s="230" t="str">
        <x:v>sunglasses ; optical glasses ; eyewear accessories ; prescription glasses ; designer eyewear</x:v>
      </x:c>
      <x:c r="M155" s="230" t="str">
        <x:v>Collezione occhiali da sole e da vista 2024. Marche trattate Dior, Prada, Gucci, Armani, Jacobs, Police, Ray-Ban, Carrera e tante altre.</x:v>
      </x:c>
      <x:c r="N155" s="230" t="str">
        <x:v>https://app.brandsearch.co/brand-analysis/otticanet.it</x:v>
      </x:c>
    </x:row>
    <x:row r="156" ht="21" customHeight="1">
      <x:c r="A156" s="230" t="str">
        <x:v>IT</x:v>
      </x:c>
      <x:c r="B156" s="230" t="str">
        <x:v>www.giarre.com</x:v>
      </x:c>
      <x:c r="C156" s="230" t="str">
        <x:v>Fashion</x:v>
      </x:c>
      <x:c r="D156" s="231" t="n">
        <x:v>70997</x:v>
      </x:c>
      <x:c r="E156" s="231" t="n">
        <x:v>40</x:v>
      </x:c>
      <x:c r="F156" s="231" t="n">
        <x:v>0</x:v>
      </x:c>
      <x:c r="G156" s="232" t="n">
        <x:v>257.27</x:v>
      </x:c>
      <x:c r="H156" s="232" t="n">
        <x:f>G156/'Méthode'!$B$5</x:f>
        <x:v>224.98469610843898</x:v>
      </x:c>
      <x:c r="I156" s="232" t="n">
        <x:v>16.26</x:v>
      </x:c>
      <x:c r="J156" s="232" t="n">
        <x:v>4609</x:v>
      </x:c>
      <x:c r="K156" s="231" t="n">
        <x:v>2000</x:v>
      </x:c>
      <x:c r="L156" s="230" t="str">
        <x:v>prescription eyeglasses ; sunglasses ; blue light glasses ; non-prescription lenses ; photochromic lenses ; designer eyewear</x:v>
      </x:c>
      <x:c r="M156" s="230" t="str">
        <x:v>Discover designer eyeglasses and luxury prescription sunglasses on giarre.com. Shop over 100 original brands at competitive prices with authentic quality and timeless style. Choose premium eyewear crafted by the world’s most iconic designers.</x:v>
      </x:c>
      <x:c r="N156" s="230" t="str">
        <x:v>https://app.brandsearch.co/brand-analysis/giarre.com</x:v>
      </x:c>
    </x:row>
    <x:row r="157" ht="21" customHeight="1">
      <x:c r="A157" s="230" t="str">
        <x:v>IT</x:v>
      </x:c>
      <x:c r="B157" s="230" t="str">
        <x:v>twinkly.com</x:v>
      </x:c>
      <x:c r="C157" s="230" t="str">
        <x:v>Home &amp; Garden</x:v>
      </x:c>
      <x:c r="D157" s="231" t="n">
        <x:v>70327</x:v>
      </x:c>
      <x:c r="E157" s="231" t="n">
        <x:v>40</x:v>
      </x:c>
      <x:c r="F157" s="231" t="n">
        <x:v>0</x:v>
      </x:c>
      <x:c r="G157" s="232" t="n">
        <x:v>186.12</x:v>
      </x:c>
      <x:c r="H157" s="232" t="n">
        <x:f>G157/'Méthode'!$B$5</x:f>
        <x:v>162.76344556187146</x:v>
      </x:c>
      <x:c r="I157" s="232" t="n">
        <x:v>9.99</x:v>
      </x:c>
      <x:c r="J157" s="232" t="n">
        <x:v>1199.99</x:v>
      </x:c>
      <x:c r="K157" s="231" t="n">
        <x:v>43</x:v>
      </x:c>
      <x:c r="L157" s="230" t="str">
        <x:v>smart led string lights ; decorative light strips ; interactive lighting solutions ; christmas and holiday lights ; smart home lighting accessories</x:v>
      </x:c>
      <x:c r="M157" s="230" t="str">
        <x:v>App-controlled decoration lights. Mappable RGB lighting. Map, control, amaze, repeat. Light up your life.</x:v>
      </x:c>
      <x:c r="N157" s="230" t="str">
        <x:v>https://app.brandsearch.co/brand-analysis/twinkly.com</x:v>
      </x:c>
    </x:row>
    <x:row r="158" ht="21" customHeight="1">
      <x:c r="A158" s="230" t="str">
        <x:v>IT</x:v>
      </x:c>
      <x:c r="B158" s="230" t="str">
        <x:v>www.ilbisonte.com</x:v>
      </x:c>
      <x:c r="C158" s="230" t="str">
        <x:v>Fashion</x:v>
      </x:c>
      <x:c r="D158" s="231" t="n">
        <x:v>66923</x:v>
      </x:c>
      <x:c r="E158" s="231" t="n">
        <x:v>40</x:v>
      </x:c>
      <x:c r="F158" s="231" t="n">
        <x:v>0</x:v>
      </x:c>
      <x:c r="G158" s="232" t="n">
        <x:v>270.38</x:v>
      </x:c>
      <x:c r="H158" s="232" t="n">
        <x:f>G158/'Méthode'!$B$5</x:f>
        <x:v>236.44949715784873</x:v>
      </x:c>
      <x:c r="I158" s="232" t="n">
        <x:v>20</x:v>
      </x:c>
      <x:c r="J158" s="232" t="n">
        <x:v>1980</x:v>
      </x:c>
      <x:c r="K158" s="231" t="n">
        <x:v>1126</x:v>
      </x:c>
      <x:c r="L158" s="230" t="str">
        <x:v>leather handbags ; wallets ; card cases ; coin purses ; passport holders ; leather accessories ; leather keyrings</x:v>
      </x:c>
      <x:c r="M158" s="230" t="str">
        <x:v>Discover Il Bisonte's high-quality leather bags and accessories: personalize and complete your style with the wide range of made-in-Italy products.</x:v>
      </x:c>
      <x:c r="N158" s="230" t="str">
        <x:v>https://app.brandsearch.co/brand-analysis/ilbisonte.com</x:v>
      </x:c>
    </x:row>
    <x:row r="159" ht="21" customHeight="1">
      <x:c r="A159" s="230" t="str">
        <x:v>IT</x:v>
      </x:c>
      <x:c r="B159" s="230" t="str">
        <x:v>mascheronistore.it</x:v>
      </x:c>
      <x:c r="C159" s="230" t="str">
        <x:v>Fashion</x:v>
      </x:c>
      <x:c r="D159" s="231" t="n">
        <x:v>60357</x:v>
      </x:c>
      <x:c r="E159" s="231" t="n">
        <x:v>40</x:v>
      </x:c>
      <x:c r="F159" s="231" t="n">
        <x:v>0</x:v>
      </x:c>
      <x:c r="G159" s="232" t="n">
        <x:v>178.05</x:v>
      </x:c>
      <x:c r="H159" s="232" t="n">
        <x:f>G159/'Méthode'!$B$5</x:f>
        <x:v>155.70616528202888</x:v>
      </x:c>
      <x:c r="I159" s="232" t="n">
        <x:v>5.71</x:v>
      </x:c>
      <x:c r="J159" s="232" t="n">
        <x:v>5138.69</x:v>
      </x:c>
      <x:c r="K159" s="231" t="n">
        <x:v>2000</x:v>
      </x:c>
      <x:c r="L159" s="230" t="str">
        <x:v>coats ; jackets ; scarves ; fashion accessories ; outerwear</x:v>
      </x:c>
      <x:c r="M159" s="230" t="str">
        <x:v>Discover Mascheroni Store, a benchmark for sophisticated fashion and accessories. Elegance and quality since 1898.</x:v>
      </x:c>
      <x:c r="N159" s="230" t="str">
        <x:v>https://app.brandsearch.co/brand-analysis/mascheronistore.it</x:v>
      </x:c>
    </x:row>
    <x:row r="160" ht="21" customHeight="1">
      <x:c r="A160" s="230" t="str">
        <x:v>IT</x:v>
      </x:c>
      <x:c r="B160" s="230" t="str">
        <x:v>www.parmashop.com</x:v>
      </x:c>
      <x:c r="C160" s="230" t="str">
        <x:v>Food &amp; Drink</x:v>
      </x:c>
      <x:c r="D160" s="231" t="n">
        <x:v>58055</x:v>
      </x:c>
      <x:c r="E160" s="231" t="n">
        <x:v>40</x:v>
      </x:c>
      <x:c r="F160" s="231" t="n">
        <x:v>0</x:v>
      </x:c>
      <x:c r="G160" s="232" t="n">
        <x:v>185.9</x:v>
      </x:c>
      <x:c r="H160" s="232" t="n">
        <x:f>G160/'Méthode'!$B$5</x:f>
        <x:v>162.5710537822475</x:v>
      </x:c>
      <x:c r="I160" s="232" t="n">
        <x:v>2.85</x:v>
      </x:c>
      <x:c r="J160" s="232" t="n">
        <x:v>7494.13</x:v>
      </x:c>
      <x:c r="K160" s="231" t="n">
        <x:v>217</x:v>
      </x:c>
      <x:c r="L160" s="230" t="str">
        <x:v>parmigiano reggiano ; prosciutto di parma ; salami ; balsamic vinegar ; food gift sets ; ceramic food containers</x:v>
      </x:c>
      <x:c r="M160" s="230" t="str">
        <x:v>Acquista online un pezzo di gastronomia Emiliana di alta qualità. Scopri i Migliori Prodotti Italiani come il prosciutto di Parma DOP e il Parmigiano Reggiano.</x:v>
      </x:c>
      <x:c r="N160" s="230" t="str">
        <x:v>https://app.brandsearch.co/brand-analysis/parmashop.com</x:v>
      </x:c>
    </x:row>
    <x:row r="161" ht="21" customHeight="1">
      <x:c r="A161" s="230" t="str">
        <x:v>IT</x:v>
      </x:c>
      <x:c r="B161" s="230" t="str">
        <x:v>www.b-exit.com</x:v>
      </x:c>
      <x:c r="C161" s="230" t="str">
        <x:v>Fashion</x:v>
      </x:c>
      <x:c r="D161" s="231" t="n">
        <x:v>42275</x:v>
      </x:c>
      <x:c r="E161" s="231" t="n">
        <x:v>40</x:v>
      </x:c>
      <x:c r="F161" s="231" t="n">
        <x:v>0</x:v>
      </x:c>
      <x:c r="G161" s="232" t="n">
        <x:v>382.95</x:v>
      </x:c>
      <x:c r="H161" s="232" t="n">
        <x:f>G161/'Méthode'!$B$5</x:f>
        <x:v>334.89287275907304</x:v>
      </x:c>
      <x:c r="I161" s="232" t="n">
        <x:v>6.25</x:v>
      </x:c>
      <x:c r="J161" s="232" t="n">
        <x:v>3440</x:v>
      </x:c>
      <x:c r="K161" s="231" t="n">
        <x:v>2000</x:v>
      </x:c>
      <x:c r="L161" s="230" t="str">
        <x:v>handbags ; shoes ; accessories ; clothing ; bags</x:v>
      </x:c>
      <x:c r="M161" s="230" t="str">
        <x:v>Discover all the offers of the B-EXIT online outlet. Buy fashionable shoes, bags and accessories for men and women at the best price. Fast deliveries.</x:v>
      </x:c>
      <x:c r="N161" s="230" t="str">
        <x:v>https://app.brandsearch.co/brand-analysis/b-exit.com</x:v>
      </x:c>
    </x:row>
    <x:row r="162" ht="21" customHeight="1">
      <x:c r="A162" s="230" t="str">
        <x:v>IT</x:v>
      </x:c>
      <x:c r="B162" s="230" t="str">
        <x:v>alecycling.com</x:v>
      </x:c>
      <x:c r="C162" s="230" t="str">
        <x:v>Sports &amp; Outdoors</x:v>
      </x:c>
      <x:c r="D162" s="231" t="n">
        <x:v>40840</x:v>
      </x:c>
      <x:c r="E162" s="231" t="n">
        <x:v>40</x:v>
      </x:c>
      <x:c r="F162" s="231" t="n">
        <x:v>0</x:v>
      </x:c>
      <x:c r="G162" s="232" t="n">
        <x:v>101.32</x:v>
      </x:c>
      <x:c r="H162" s="232" t="n">
        <x:f>G162/'Méthode'!$B$5</x:f>
        <x:v>88.60515959772627</x:v>
      </x:c>
      <x:c r="I162" s="232" t="n">
        <x:v>5.59</x:v>
      </x:c>
      <x:c r="J162" s="232" t="n">
        <x:v>1153.75</x:v>
      </x:c>
      <x:c r="K162" s="231" t="n">
        <x:v>1034</x:v>
      </x:c>
      <x:c r="L162" s="230" t="str">
        <x:v>cycling jerseys ; cycling shorts ; performance apparel ; cycling accessories ; compression wear ; cycling shoes ; socks</x:v>
      </x:c>
      <x:c r="M162" s="230" t="str">
        <x:v>Scopri il top di gamma di abbigliamento e accessori sul sito ufficiale di Alè Cycling. Spedizioni Gratis a partire da 100€. Sicurezza, performance e qualità garantiti.</x:v>
      </x:c>
      <x:c r="N162" s="230" t="str">
        <x:v>https://app.brandsearch.co/brand-analysis/alecycling.com</x:v>
      </x:c>
    </x:row>
    <x:row r="163" ht="21" customHeight="1">
      <x:c r="A163" s="230" t="str">
        <x:v>IT</x:v>
      </x:c>
      <x:c r="B163" s="230" t="str">
        <x:v>www.imetec.com</x:v>
      </x:c>
      <x:c r="C163" s="230" t="str">
        <x:v>Home Decor</x:v>
      </x:c>
      <x:c r="D163" s="231" t="n">
        <x:v>38561</x:v>
      </x:c>
      <x:c r="E163" s="231" t="n">
        <x:v>40</x:v>
      </x:c>
      <x:c r="F163" s="231" t="n">
        <x:v>0</x:v>
      </x:c>
      <x:c r="G163" s="232" t="n">
        <x:v>113.12</x:v>
      </x:c>
      <x:c r="H163" s="232" t="n">
        <x:f>G163/'Méthode'!$B$5</x:f>
        <x:v>98.92435505028422</x:v>
      </x:c>
      <x:c r="I163" s="232" t="n">
        <x:v>17.12</x:v>
      </x:c>
      <x:c r="J163" s="232" t="n">
        <x:v>570.96</x:v>
      </x:c>
      <x:c r="K163" s="231" t="n">
        <x:v>134</x:v>
      </x:c>
      <x:c r="L163" s="230" t="str">
        <x:v>bedding sets ; pillows ; blankets ; sleep accessories ; wellness devices</x:v>
      </x:c>
      <x:c r="M163" s="230" t="str">
        <x:v>Imetec Online Shop. Spedizione gratis per ordini superiori a 19 euro. Negozio online ufficiale Imetec, trova i prezzi e acquista i prodotti per donna e uomo, per la bellezza, i capelli, la casa e il benessere. Sezione outlet con offerte e sconti speciali.</x:v>
      </x:c>
      <x:c r="N163" s="230" t="str">
        <x:v>https://app.brandsearch.co/brand-analysis/imetec.com</x:v>
      </x:c>
    </x:row>
    <x:row r="164" ht="21" customHeight="1">
      <x:c r="A164" s="230" t="str">
        <x:v>IT</x:v>
      </x:c>
      <x:c r="B164" s="230" t="str">
        <x:v>www.spaziopritelli.com</x:v>
      </x:c>
      <x:c r="C164" s="230" t="str">
        <x:v>Fashion</x:v>
      </x:c>
      <x:c r="D164" s="231" t="n">
        <x:v>33701</x:v>
      </x:c>
      <x:c r="E164" s="231" t="n">
        <x:v>40</x:v>
      </x:c>
      <x:c r="F164" s="231" t="n">
        <x:v>0</x:v>
      </x:c>
      <x:c r="G164" s="232" t="n">
        <x:v>286.09</x:v>
      </x:c>
      <x:c r="H164" s="232" t="n">
        <x:f>G164/'Méthode'!$B$5</x:f>
        <x:v>250.18801923917795</x:v>
      </x:c>
      <x:c r="I164" s="232" t="n">
        <x:v>8</x:v>
      </x:c>
      <x:c r="J164" s="232" t="n">
        <x:v>9800</x:v>
      </x:c>
      <x:c r="K164" s="231" t="n">
        <x:v>2000</x:v>
      </x:c>
      <x:c r="L164" s="230" t="str">
        <x:v>sneakers ; t-shirts ; accessories ; jackets ; bags</x:v>
      </x:c>
      <x:c r="M164" s="230" t="str">
        <x:v>Discover the world of Spazio Pritelli: clothing, shoes, and accessories from top brands for men and women. Explore the collections on the official website.</x:v>
      </x:c>
      <x:c r="N164" s="230" t="str">
        <x:v>https://app.brandsearch.co/brand-analysis/spaziopritelli.com</x:v>
      </x:c>
    </x:row>
    <x:row r="165" ht="21" customHeight="1">
      <x:c r="A165" s="230" t="str">
        <x:v>IT</x:v>
      </x:c>
      <x:c r="B165" s="230" t="str">
        <x:v>www.divoboutique.com</x:v>
      </x:c>
      <x:c r="C165" s="230" t="str">
        <x:v>Fashion</x:v>
      </x:c>
      <x:c r="D165" s="231" t="n">
        <x:v>29555</x:v>
      </x:c>
      <x:c r="E165" s="231" t="n">
        <x:v>40</x:v>
      </x:c>
      <x:c r="F165" s="231" t="n">
        <x:v>0</x:v>
      </x:c>
      <x:c r="G165" s="232" t="n">
        <x:v>269.79</x:v>
      </x:c>
      <x:c r="H165" s="232" t="n">
        <x:f>G165/'Méthode'!$B$5</x:f>
        <x:v>235.93353738522083</x:v>
      </x:c>
      <x:c r="I165" s="232" t="n">
        <x:v>7.5</x:v>
      </x:c>
      <x:c r="J165" s="232" t="n">
        <x:v>7500</x:v>
      </x:c>
      <x:c r="K165" s="231" t="n">
        <x:v>2000</x:v>
      </x:c>
      <x:c r="L165" s="230" t="str">
        <x:v>bags ; sneakers ; t-shirts ; shoes ; accessories</x:v>
      </x:c>
      <x:c r="M165" s="230" t="str">
        <x:v>Divo Boutique is the online store dedicated to luxury shopping for women, men, and kids. Exclusive brands, secure payments, and express shipping.</x:v>
      </x:c>
      <x:c r="N165" s="230" t="str">
        <x:v>https://app.brandsearch.co/brand-analysis/divoboutique.com</x:v>
      </x:c>
    </x:row>
    <x:row r="166" ht="21" customHeight="1">
      <x:c r="A166" s="230" t="str">
        <x:v>IT</x:v>
      </x:c>
      <x:c r="B166" s="230" t="str">
        <x:v>limar.com</x:v>
      </x:c>
      <x:c r="C166" s="230" t="str">
        <x:v>Sports &amp; Outdoors</x:v>
      </x:c>
      <x:c r="D166" s="231" t="n">
        <x:v>29033</x:v>
      </x:c>
      <x:c r="E166" s="231" t="n">
        <x:v>40</x:v>
      </x:c>
      <x:c r="F166" s="231" t="n">
        <x:v>0</x:v>
      </x:c>
      <x:c r="G166" s="232" t="n">
        <x:v>159.92</x:v>
      </x:c>
      <x:c r="H166" s="232" t="n">
        <x:f>G166/'Méthode'!$B$5</x:f>
        <x:v>139.85133362483603</x:v>
      </x:c>
      <x:c r="I166" s="232" t="n">
        <x:v>11.31</x:v>
      </x:c>
      <x:c r="J166" s="232" t="n">
        <x:v>570.92</x:v>
      </x:c>
      <x:c r="K166" s="231" t="n">
        <x:v>51</x:v>
      </x:c>
      <x:c r="L166" s="230" t="str">
        <x:v>mountain bike helmets ; cycling helmets ; aerodynamic helmets ; mips helmets ; lightweight helmets</x:v>
      </x:c>
      <x:c r="M166" s="230" t="str">
        <x:v>After creating the world's lightest helmet, we didn't stop. We explored the boundaries of aerodynamics, to go even further. Because the most prestigious goal is the next one.</x:v>
      </x:c>
      <x:c r="N166" s="230" t="str">
        <x:v>https://app.brandsearch.co/brand-analysis/limar.com</x:v>
      </x:c>
    </x:row>
    <x:row r="167" ht="21" customHeight="1">
      <x:c r="A167" s="230" t="str">
        <x:v>IT</x:v>
      </x:c>
      <x:c r="B167" s="230" t="str">
        <x:v>j-la-l.com</x:v>
      </x:c>
      <x:c r="C167" s="230" t="str">
        <x:v>Fashion</x:v>
      </x:c>
      <x:c r="D167" s="231" t="n">
        <x:v>25768</x:v>
      </x:c>
      <x:c r="E167" s="231" t="n">
        <x:v>40</x:v>
      </x:c>
      <x:c r="F167" s="231" t="n">
        <x:v>0</x:v>
      </x:c>
      <x:c r="G167" s="232" t="n">
        <x:v>315.72</x:v>
      </x:c>
      <x:c r="H167" s="232" t="n">
        <x:f>G167/'Méthode'!$B$5</x:f>
        <x:v>276.0996939221688</x:v>
      </x:c>
      <x:c r="I167" s="232" t="n">
        <x:v>23.98</x:v>
      </x:c>
      <x:c r="J167" s="232" t="n">
        <x:v>2238.26</x:v>
      </x:c>
      <x:c r="K167" s="231" t="n">
        <x:v>275</x:v>
      </x:c>
      <x:c r="L167" s="230" t="str">
        <x:v>trousers ; jackets ; longsleeves ; beanies ; knitwear</x:v>
      </x:c>
      <x:c r="M167" s="230" t="str">
        <x:v>_J.L-A.L_ is a brand focused on continuous development often inspired by technological innovation - its unique forms and outcomes, a result of favouring experimentation over established trends.</x:v>
      </x:c>
      <x:c r="N167" s="230" t="str">
        <x:v>https://app.brandsearch.co/brand-analysis/j-la-l.com</x:v>
      </x:c>
    </x:row>
    <x:row r="168" ht="21" customHeight="1">
      <x:c r="A168" s="230" t="str">
        <x:v>IT</x:v>
      </x:c>
      <x:c r="B168" s="230" t="str">
        <x:v>madonninaresell.com</x:v>
      </x:c>
      <x:c r="C168" s="230" t="str">
        <x:v>Fashion</x:v>
      </x:c>
      <x:c r="D168" s="231" t="n">
        <x:v>25717</x:v>
      </x:c>
      <x:c r="E168" s="231" t="n">
        <x:v>40</x:v>
      </x:c>
      <x:c r="F168" s="231" t="n">
        <x:v>0</x:v>
      </x:c>
      <x:c r="G168" s="232" t="n">
        <x:v>290.76</x:v>
      </x:c>
      <x:c r="H168" s="232" t="n">
        <x:f>G168/'Méthode'!$B$5</x:f>
        <x:v>254.27197201574114</x:v>
      </x:c>
      <x:c r="I168" s="232" t="n">
        <x:v>13.59</x:v>
      </x:c>
      <x:c r="J168" s="232" t="n">
        <x:v>3036.53</x:v>
      </x:c>
      <x:c r="K168" s="231" t="n">
        <x:v>1262</x:v>
      </x:c>
      <x:c r="L168" s="230" t="str">
        <x:v>limited edition sneakers ; authentic sneakers ; streetwear sneakers ; custom sneakers ; brand-name sneakers</x:v>
      </x:c>
      <x:c r="M168" s="230" t="str">
        <x:v>Store founded in Milan specializing in the sale of Sneakers, Clothing, and Limited Edition Collectibles 100% Authentic. Fast Delivery. Installment payment - 30 days free returns - Active customer support.</x:v>
      </x:c>
      <x:c r="N168" s="230" t="str">
        <x:v>https://app.brandsearch.co/brand-analysis/madonninaresell.com</x:v>
      </x:c>
    </x:row>
    <x:row r="169" ht="21" customHeight="1">
      <x:c r="A169" s="230" t="str">
        <x:v>IT</x:v>
      </x:c>
      <x:c r="B169" s="230" t="str">
        <x:v>www.muunmaterassi.com</x:v>
      </x:c>
      <x:c r="C169" s="230" t="str">
        <x:v>Home Decor</x:v>
      </x:c>
      <x:c r="D169" s="231" t="n">
        <x:v>22146</x:v>
      </x:c>
      <x:c r="E169" s="231" t="n">
        <x:v>40</x:v>
      </x:c>
      <x:c r="F169" s="231" t="n">
        <x:v>0</x:v>
      </x:c>
      <x:c r="G169" s="232" t="n">
        <x:v>324.94</x:v>
      </x:c>
      <x:c r="H169" s="232" t="n">
        <x:f>G169/'Méthode'!$B$5</x:f>
        <x:v>284.16265850459115</x:v>
      </x:c>
      <x:c r="I169" s="232" t="n">
        <x:v>39.96</x:v>
      </x:c>
      <x:c r="J169" s="232" t="n">
        <x:v>1187.65</x:v>
      </x:c>
      <x:c r="K169" s="231" t="n">
        <x:v>46</x:v>
      </x:c>
      <x:c r="L169" s="230" t="str">
        <x:v>memory foam mattresses ; spring mattresses ; mattress toppers ; sleep accessories ; personalized sleep solutions</x:v>
      </x:c>
      <x:c r="M169" s="230" t="str">
        <x:v>Scopri il Comfort senza compromessi con Muun Materassi italiani: Sconti esclusivi e Spedizione Gratuita. Dormi meglio, Risparmia di più. Il tuo Riposo di Qualità è Muun Materassi - Il Sonno dei tuoi Sogni diventa realtà, con Comfort italiano e Prezzi Leggeri. Garanzia per 20 anni, Pagamenti rateizzati.</x:v>
      </x:c>
      <x:c r="N169" s="230" t="str">
        <x:v>https://app.brandsearch.co/brand-analysis/muunmaterassi.com</x:v>
      </x:c>
    </x:row>
    <x:row r="170" ht="21" customHeight="1">
      <x:c r="A170" s="230" t="str">
        <x:v>IT</x:v>
      </x:c>
      <x:c r="B170" s="230" t="str">
        <x:v>gio-abbigliamento.com</x:v>
      </x:c>
      <x:c r="C170" s="230" t="str">
        <x:v>Fashion</x:v>
      </x:c>
      <x:c r="D170" s="231" t="n">
        <x:v>19980</x:v>
      </x:c>
      <x:c r="E170" s="231" t="n">
        <x:v>40</x:v>
      </x:c>
      <x:c r="F170" s="231" t="n">
        <x:v>0</x:v>
      </x:c>
      <x:c r="G170" s="232" t="n">
        <x:v>169.79</x:v>
      </x:c>
      <x:c r="H170" s="232" t="n">
        <x:f>G170/'Méthode'!$B$5</x:f>
        <x:v>148.4827284652383</x:v>
      </x:c>
      <x:c r="I170" s="232" t="n">
        <x:v>1.14</x:v>
      </x:c>
      <x:c r="J170" s="232" t="n">
        <x:v>4385.21</x:v>
      </x:c>
      <x:c r="K170" s="231" t="n">
        <x:v>2000</x:v>
      </x:c>
      <x:c r="L170" s="230" t="str">
        <x:v>designer clothing ; designer accessories ; bags ; shoes ; belts ; sunglasses ; luxury apparel</x:v>
      </x:c>
      <x:c r="M170" s="230" t="str">
        <x:v>Scopri Gio Boutique, la boutique online di abbigliamento firmato, scarpe e accessori per uomo, donna e bambino. Acquista prodotti originali dei migliori brand con spedizioni rapide e pagamenti sicuri</x:v>
      </x:c>
      <x:c r="N170" s="230" t="str">
        <x:v>https://app.brandsearch.co/brand-analysis/gio-abbigliamento.com</x:v>
      </x:c>
    </x:row>
    <x:row r="171" ht="21" customHeight="1">
      <x:c r="A171" s="230" t="str">
        <x:v>IT</x:v>
      </x:c>
      <x:c r="B171" s="230" t="str">
        <x:v>originalveniceshop.com</x:v>
      </x:c>
      <x:c r="C171" s="230" t="str">
        <x:v>Home &amp; Garden</x:v>
      </x:c>
      <x:c r="D171" s="231" t="n">
        <x:v>19348</x:v>
      </x:c>
      <x:c r="E171" s="231" t="n">
        <x:v>40</x:v>
      </x:c>
      <x:c r="F171" s="231" t="n">
        <x:v>0</x:v>
      </x:c>
      <x:c r="G171" s="232" t="n">
        <x:v>396.41</x:v>
      </x:c>
      <x:c r="H171" s="232" t="n">
        <x:f>G171/'Méthode'!$B$5</x:f>
        <x:v>346.6637516397027</x:v>
      </x:c>
      <x:c r="I171" s="232" t="n">
        <x:v>23.49</x:v>
      </x:c>
      <x:c r="J171" s="232" t="n">
        <x:v>68237.03</x:v>
      </x:c>
      <x:c r="K171" s="231" t="n">
        <x:v>1690</x:v>
      </x:c>
      <x:c r="L171" s="230" t="str">
        <x:v>venetian masks ; handmade accessories ; artisanal crafts ; decor items ; costumes</x:v>
      </x:c>
      <x:c r="M171" s="230" t="str">
        <x:v>Only the excellence from the best venetian craftsmen. Venetian carnival masks, fortuny lamps, Original Murano Glass, Murano Chandelier, Forcola.</x:v>
      </x:c>
      <x:c r="N171" s="230" t="str">
        <x:v>https://app.brandsearch.co/brand-analysis/originalveniceshop.com</x:v>
      </x:c>
    </x:row>
    <x:row r="172" ht="21" customHeight="1">
      <x:c r="A172" s="230" t="str">
        <x:v>IT</x:v>
      </x:c>
      <x:c r="B172" s="230" t="str">
        <x:v>cegoceramiche.com</x:v>
      </x:c>
      <x:c r="C172" s="230" t="str">
        <x:v>Home &amp; Garden</x:v>
      </x:c>
      <x:c r="D172" s="231" t="n">
        <x:v>16655</x:v>
      </x:c>
      <x:c r="E172" s="231" t="n">
        <x:v>40</x:v>
      </x:c>
      <x:c r="F172" s="231" t="n">
        <x:v>0</x:v>
      </x:c>
      <x:c r="G172" s="232" t="n">
        <x:v>330.77</x:v>
      </x:c>
      <x:c r="H172" s="232" t="n">
        <x:f>G172/'Méthode'!$B$5</x:f>
        <x:v>289.26104066462614</x:v>
      </x:c>
      <x:c r="I172" s="232" t="n">
        <x:v>0.32</x:v>
      </x:c>
      <x:c r="J172" s="232" t="n">
        <x:v>23060.36</x:v>
      </x:c>
      <x:c r="K172" s="231" t="n">
        <x:v>2000</x:v>
      </x:c>
      <x:c r="L172" s="230" t="str">
        <x:v>ceramic tiles ; porcelain tiles ; flooring ; wall tiles ; deco tiles ; cladding panels</x:v>
      </x:c>
      <x:c r="M172" s="230" t="str">
        <x:v>Explore our vast selection of porcelain tiles and clap deco floors to transform your spaces. Choose beauty, durability and elegance for your home or commercial project. Find out now</x:v>
      </x:c>
      <x:c r="N172" s="230" t="str">
        <x:v>https://app.brandsearch.co/brand-analysis/cegoceramiche.com</x:v>
      </x:c>
    </x:row>
    <x:row r="173" ht="21" customHeight="1">
      <x:c r="A173" s="230" t="str">
        <x:v>IT</x:v>
      </x:c>
      <x:c r="B173" s="230" t="str">
        <x:v>www.onytcg.it</x:v>
      </x:c>
      <x:c r="C173" s="230" t="str">
        <x:v>Arts &amp; Crafts</x:v>
      </x:c>
      <x:c r="D173" s="231" t="n">
        <x:v>15990</x:v>
      </x:c>
      <x:c r="E173" s="231" t="n">
        <x:v>40</x:v>
      </x:c>
      <x:c r="F173" s="231" t="n">
        <x:v>0</x:v>
      </x:c>
      <x:c r="G173" s="232" t="n">
        <x:v>137.21</x:v>
      </x:c>
      <x:c r="H173" s="232" t="n">
        <x:f>G173/'Méthode'!$B$5</x:f>
        <x:v>119.99125491910802</x:v>
      </x:c>
      <x:c r="I173" s="232" t="n">
        <x:v>5.86</x:v>
      </x:c>
      <x:c r="J173" s="232" t="n">
        <x:v>1995.34</x:v>
      </x:c>
      <x:c r="K173" s="231" t="n">
        <x:v>91</x:v>
      </x:c>
      <x:c r="L173" s="230" t="str">
        <x:v>collectible trading cards ; card game booster packs ; special edition decks ; accessories for trading cards ; pre-order exclusive products</x:v>
      </x:c>
      <x:c r="M173" s="230" t="str">
        <x:v>Il miglior negozio online per carte collezionabili, TCG, Pokemon, Yu-Gi-Oh!, Magic e One Piece.</x:v>
      </x:c>
      <x:c r="N173" s="230" t="str">
        <x:v>https://app.brandsearch.co/brand-analysis/onytcg.it</x:v>
      </x:c>
    </x:row>
    <x:row r="174" ht="21" customHeight="1">
      <x:c r="A174" s="230" t="str">
        <x:v>IT</x:v>
      </x:c>
      <x:c r="B174" s="230" t="str">
        <x:v>ghidini1849.com</x:v>
      </x:c>
      <x:c r="C174" s="230" t="str">
        <x:v>Home Decor</x:v>
      </x:c>
      <x:c r="D174" s="231" t="n">
        <x:v>15880</x:v>
      </x:c>
      <x:c r="E174" s="231" t="n">
        <x:v>40</x:v>
      </x:c>
      <x:c r="F174" s="231" t="n">
        <x:v>0</x:v>
      </x:c>
      <x:c r="G174" s="232" t="n">
        <x:v>435.7</x:v>
      </x:c>
      <x:c r="H174" s="232" t="n">
        <x:f>G174/'Méthode'!$B$5</x:f>
        <x:v>381.0231744643638</x:v>
      </x:c>
      <x:c r="I174" s="232" t="n">
        <x:v>22</x:v>
      </x:c>
      <x:c r="J174" s="232" t="n">
        <x:v>7041</x:v>
      </x:c>
      <x:c r="K174" s="231" t="n">
        <x:v>600</x:v>
      </x:c>
      <x:c r="L174" s="230" t="str">
        <x:v>brass lamps ; wall lamps ; picture lights ; chandeliers ; table lamps</x:v>
      </x:c>
      <x:c r="M174" s="230" t="str">
        <x:v>Explore Ghidini 1849’s luxury brass lamps and unique handcrafted details, made in Italy to add elegance and style to any space.</x:v>
      </x:c>
      <x:c r="N174" s="230" t="str">
        <x:v>https://app.brandsearch.co/brand-analysis/ghidini1849.com</x:v>
      </x:c>
    </x:row>
    <x:row r="175" ht="21" customHeight="1">
      <x:c r="A175" s="230" t="str">
        <x:v>IT</x:v>
      </x:c>
      <x:c r="B175" s="230" t="str">
        <x:v>amerigostore.it</x:v>
      </x:c>
      <x:c r="C175" s="230" t="str">
        <x:v>Automotive</x:v>
      </x:c>
      <x:c r="D175" s="231" t="n">
        <x:v>15707</x:v>
      </x:c>
      <x:c r="E175" s="231" t="n">
        <x:v>40</x:v>
      </x:c>
      <x:c r="F175" s="231" t="n">
        <x:v>0</x:v>
      </x:c>
      <x:c r="G175" s="232" t="n">
        <x:v>133.44</x:v>
      </x:c>
      <x:c r="H175" s="232" t="n">
        <x:f>G175/'Méthode'!$B$5</x:f>
        <x:v>116.69435942282466</x:v>
      </x:c>
      <x:c r="I175" s="232" t="n">
        <x:v>1.13</x:v>
      </x:c>
      <x:c r="J175" s="232" t="n">
        <x:v>17676.65</x:v>
      </x:c>
      <x:c r="K175" s="231" t="n">
        <x:v>2000</x:v>
      </x:c>
      <x:c r="L175" s="230" t="str">
        <x:v>auto parts ; camper accessories ; motorcycle accessories ; boat accessories ; vehicle suspension components ; pneumatic tires ; car roof racks ; bicycle racks</x:v>
      </x:c>
      <x:c r="M175" s="230" t="str">
        <x:v>Accessori e Ricambi per Auto, Camper, Moto e Bici. Centinaia di Brand e piu di 50000 prodotti dedicati al viaggio e al fai-da-te per chi viaggia in Auto, Camper, Barca e sulle due ruote. Un catalogo di prodotti dei Brand più importanti e con un servizio clienti per soddisfare ogni tipo di richiesta. Go! Amerigo</x:v>
      </x:c>
      <x:c r="N175" s="230" t="str">
        <x:v>https://app.brandsearch.co/brand-analysis/amerigostore.it</x:v>
      </x:c>
    </x:row>
    <x:row r="176" ht="21" customHeight="1">
      <x:c r="A176" s="230" t="str">
        <x:v>IT</x:v>
      </x:c>
      <x:c r="B176" s="230" t="str">
        <x:v>mokashop.eu</x:v>
      </x:c>
      <x:c r="C176" s="230" t="str">
        <x:v>Food &amp; Drink</x:v>
      </x:c>
      <x:c r="D176" s="231" t="n">
        <x:v>12533</x:v>
      </x:c>
      <x:c r="E176" s="231" t="n">
        <x:v>40</x:v>
      </x:c>
      <x:c r="F176" s="231" t="n">
        <x:v>0</x:v>
      </x:c>
      <x:c r="G176" s="232" t="n">
        <x:v>136.87</x:v>
      </x:c>
      <x:c r="H176" s="232" t="n">
        <x:f>G176/'Méthode'!$B$5</x:f>
        <x:v>119.69392216878006</x:v>
      </x:c>
      <x:c r="I176" s="232" t="n">
        <x:v>0.17</x:v>
      </x:c>
      <x:c r="J176" s="232" t="n">
        <x:v>7924.89</x:v>
      </x:c>
      <x:c r="K176" s="231" t="n">
        <x:v>953</x:v>
      </x:c>
      <x:c r="L176" s="230" t="str">
        <x:v>coffee capsules ; coffee beans ; ground coffee ; coffee accessories ; liquors ; muesli ; biscuits ; zwieback</x:v>
      </x:c>
      <x:c r="M176" s="230" t="str">
        <x:v>Mokashop: il mondo del caffè, tisane e infusi e food &amp; beverage dal 1996. Il nostro e-commerce specializzato in food and beverage ti offre una selezione di alta qualità. Soddisfa i tuoi gusti con le migliori varietà di bevande. Spedizioni rapide. Vendita e assistenza macchine da caffè.</x:v>
      </x:c>
      <x:c r="N176" s="230" t="str">
        <x:v>https://app.brandsearch.co/brand-analysis/mokashop.eu</x:v>
      </x:c>
    </x:row>
    <x:row r="177" ht="21" customHeight="1">
      <x:c r="A177" s="230" t="str">
        <x:v>IT</x:v>
      </x:c>
      <x:c r="B177" s="230" t="str">
        <x:v>www.eldoradojewels.com</x:v>
      </x:c>
      <x:c r="C177" s="230" t="str">
        <x:v>Jewelry</x:v>
      </x:c>
      <x:c r="D177" s="231" t="n">
        <x:v>11472</x:v>
      </x:c>
      <x:c r="E177" s="231" t="n">
        <x:v>40</x:v>
      </x:c>
      <x:c r="F177" s="231" t="n">
        <x:v>0</x:v>
      </x:c>
      <x:c r="G177" s="232" t="n">
        <x:v>247.92</x:v>
      </x:c>
      <x:c r="H177" s="232" t="n">
        <x:f>G177/'Méthode'!$B$5</x:f>
        <x:v>216.80804547442062</x:v>
      </x:c>
      <x:c r="I177" s="232" t="n">
        <x:v>6.28</x:v>
      </x:c>
      <x:c r="J177" s="232" t="n">
        <x:v>14332.64</x:v>
      </x:c>
      <x:c r="K177" s="231" t="n">
        <x:v>2000</x:v>
      </x:c>
      <x:c r="L177" s="230" t="str">
        <x:v>watches ; necklaces ; rings ; bracelets ; jewelry sets</x:v>
      </x:c>
      <x:c r="M177" s="230" t="str">
        <x:v>Eldorado Jewels is the online jewelry store where you can buy jewelry, watches and smartwatches from the best brands. Take advantage of online discounts and fast shipping.</x:v>
      </x:c>
      <x:c r="N177" s="230" t="str">
        <x:v>https://app.brandsearch.co/brand-analysis/eldoradojewels.com</x:v>
      </x:c>
    </x:row>
    <x:row r="178" ht="21" customHeight="1">
      <x:c r="A178" s="230" t="str">
        <x:v>IT</x:v>
      </x:c>
      <x:c r="B178" s="230" t="str">
        <x:v>evhoc.it</x:v>
      </x:c>
      <x:c r="C178" s="230" t="str">
        <x:v>Home Decor</x:v>
      </x:c>
      <x:c r="D178" s="231" t="n">
        <x:v>9866</x:v>
      </x:c>
      <x:c r="E178" s="231" t="n">
        <x:v>40</x:v>
      </x:c>
      <x:c r="F178" s="231" t="n">
        <x:v>0</x:v>
      </x:c>
      <x:c r="G178" s="232" t="n">
        <x:v>326.4</x:v>
      </x:c>
      <x:c r="H178" s="232" t="n">
        <x:f>G178/'Méthode'!$B$5</x:f>
        <x:v>285.4394403148229</x:v>
      </x:c>
      <x:c r="I178" s="232" t="n">
        <x:v>11.42</x:v>
      </x:c>
      <x:c r="J178" s="232" t="n">
        <x:v>789.11</x:v>
      </x:c>
      <x:c r="K178" s="231" t="n">
        <x:v>96</x:v>
      </x:c>
      <x:c r="L178" s="230" t="str">
        <x:v>kitchen sinks ; kitchen faucets ; kitchen accessories ; countertops ; kitchen tiles</x:v>
      </x:c>
      <x:c r="M178" s="230" t="str">
        <x:v>Lavelli cucina in acciaio inox, granito e kuarzite, 1 o 2 vasche, sottotop e sopratop. Scopri anche i miscelatori e rubinetti di design Evhoc.</x:v>
      </x:c>
      <x:c r="N178" s="230" t="str">
        <x:v>https://app.brandsearch.co/brand-analysis/evhoc.it</x:v>
      </x:c>
    </x:row>
    <x:row r="179" ht="21" customHeight="1">
      <x:c r="A179" s="230" t="str">
        <x:v>IT</x:v>
      </x:c>
      <x:c r="B179" s="230" t="str">
        <x:v>www.otticadiecidecimi.com</x:v>
      </x:c>
      <x:c r="C179" s="230" t="str">
        <x:v>Health &amp; Supplements</x:v>
      </x:c>
      <x:c r="D179" s="231" t="n">
        <x:v>8920</x:v>
      </x:c>
      <x:c r="E179" s="231" t="n">
        <x:v>40</x:v>
      </x:c>
      <x:c r="F179" s="231" t="n">
        <x:v>0</x:v>
      </x:c>
      <x:c r="G179" s="232" t="n">
        <x:v>269.85</x:v>
      </x:c>
      <x:c r="H179" s="232" t="n">
        <x:f>G179/'Méthode'!$B$5</x:f>
        <x:v>235.98600787057282</x:v>
      </x:c>
      <x:c r="I179" s="232" t="n">
        <x:v>53</x:v>
      </x:c>
      <x:c r="J179" s="232" t="n">
        <x:v>1634</x:v>
      </x:c>
      <x:c r="K179" s="231" t="n">
        <x:v>2000</x:v>
      </x:c>
      <x:c r="L179" s="230" t="str">
        <x:v>sunglasses ; eyeglasses ; optometric services ; vision testing devices ; eyewear accessories</x:v>
      </x:c>
      <x:c r="M179" s="230" t="str">
        <x:v>Ottica Dieci Decimi propone occhiali, accessori e soluzioni di qualità e design per il tuo benessere visivo. Prenditi cura dei tuoi occhi!</x:v>
      </x:c>
      <x:c r="N179" s="230" t="str">
        <x:v>https://app.brandsearch.co/brand-analysis/otticadiecidecimi.com</x:v>
      </x:c>
    </x:row>
    <x:row r="180" ht="21" customHeight="1">
      <x:c r="A180" s="230" t="str">
        <x:v>IT</x:v>
      </x:c>
      <x:c r="B180" s="230" t="str">
        <x:v>importforme.it</x:v>
      </x:c>
      <x:c r="C180" s="230" t="str">
        <x:v>Home &amp; Garden</x:v>
      </x:c>
      <x:c r="D180" s="231" t="n">
        <x:v>8215</x:v>
      </x:c>
      <x:c r="E180" s="231" t="n">
        <x:v>40</x:v>
      </x:c>
      <x:c r="F180" s="231" t="n">
        <x:v>0</x:v>
      </x:c>
      <x:c r="G180" s="232" t="n">
        <x:v>325.15</x:v>
      </x:c>
      <x:c r="H180" s="232" t="n">
        <x:f>G180/'Méthode'!$B$5</x:f>
        <x:v>284.34630520332314</x:v>
      </x:c>
      <x:c r="I180" s="232" t="n">
        <x:v>0.57</x:v>
      </x:c>
      <x:c r="J180" s="232" t="n">
        <x:v>35627.75</x:v>
      </x:c>
      <x:c r="K180" s="231" t="n">
        <x:v>2000</x:v>
      </x:c>
      <x:c r="L180" s="230" t="str">
        <x:v>shower cabins ; saunas ; bathroom fixtures ; bathroom accessories ; home wellness products</x:v>
      </x:c>
      <x:c r="M180" s="230" t="str">
        <x:v>Import For Me è il partner ideale per privati e aziende che cercano soluzioni rapide e sicure per l’importazione diretta, la logistica e la distribuzione. Prodotti certificati CE, assistenza continua e ricambi garantiti per 10 anni.</x:v>
      </x:c>
      <x:c r="N180" s="230" t="str">
        <x:v>https://app.brandsearch.co/brand-analysis/importforme.it</x:v>
      </x:c>
    </x:row>
    <x:row r="181" ht="21" customHeight="1">
      <x:c r="A181" s="230" t="str">
        <x:v>IT</x:v>
      </x:c>
      <x:c r="B181" s="230" t="str">
        <x:v>www.gioielleriasora.it</x:v>
      </x:c>
      <x:c r="C181" s="230" t="str">
        <x:v>Jewelry</x:v>
      </x:c>
      <x:c r="D181" s="231" t="n">
        <x:v>7964</x:v>
      </x:c>
      <x:c r="E181" s="231" t="n">
        <x:v>40</x:v>
      </x:c>
      <x:c r="F181" s="231" t="n">
        <x:v>0</x:v>
      </x:c>
      <x:c r="G181" s="232" t="n">
        <x:v>134.09</x:v>
      </x:c>
      <x:c r="H181" s="232" t="n">
        <x:f>G181/'Méthode'!$B$5</x:f>
        <x:v>117.26278968080456</x:v>
      </x:c>
      <x:c r="I181" s="232" t="n">
        <x:v>9.71</x:v>
      </x:c>
      <x:c r="J181" s="232" t="n">
        <x:v>3597.2</x:v>
      </x:c>
      <x:c r="K181" s="231" t="n">
        <x:v>2000</x:v>
      </x:c>
      <x:c r="L181" s="230" t="str">
        <x:v>jewelry ; watches ; bracelets ; necklaces ; rings ; pendants ; earrings</x:v>
      </x:c>
      <x:c r="M181" s="230" t="str">
        <x:v>Scopri Gioielleria Sora Delio, dal 1949 punto di riferimento in Romagna per gioielli, orologi e argenteria artigianale. Marche top come Tissot, Longines, Fossil e UNOAERRE. Acquista online o visita i negozi a Savignano sul Rubicone e Bellaria-Igea Marina.</x:v>
      </x:c>
      <x:c r="N181" s="230" t="str">
        <x:v>https://app.brandsearch.co/brand-analysis/gioielleriasora.it</x:v>
      </x:c>
    </x:row>
    <x:row r="182" ht="21" customHeight="1">
      <x:c r="A182" s="230" t="str">
        <x:v>IT</x:v>
      </x:c>
      <x:c r="B182" s="230" t="str">
        <x:v>specialingredients.it</x:v>
      </x:c>
      <x:c r="C182" s="230" t="str">
        <x:v>Food &amp; Drink</x:v>
      </x:c>
      <x:c r="D182" s="231" t="n">
        <x:v>5292</x:v>
      </x:c>
      <x:c r="E182" s="231" t="n">
        <x:v>40</x:v>
      </x:c>
      <x:c r="F182" s="231" t="n">
        <x:v>0</x:v>
      </x:c>
      <x:c r="G182" s="232" t="n">
        <x:v>448.4</x:v>
      </x:c>
      <x:c r="H182" s="232" t="n">
        <x:f>G182/'Méthode'!$B$5</x:f>
        <x:v>392.12942719720155</x:v>
      </x:c>
      <x:c r="I182" s="232" t="n">
        <x:v>2.16</x:v>
      </x:c>
      <x:c r="J182" s="232" t="n">
        <x:v>3197.5</x:v>
      </x:c>
      <x:c r="K182" s="231" t="n">
        <x:v>909</x:v>
      </x:c>
      <x:c r="L182" s="230" t="str">
        <x:v>molecular gastronomy ingredients ; culinary additives ; cocktail ingredients ; food thickeners ; food acids ; gelatin substitutes ; culinary powders</x:v>
      </x:c>
      <x:c r="M182" s="230" t="str">
        <x:v>It unleashes culinary art with Special Ingredients Agar Agar, the vegan gelling essential for modern cuisine. Our top quality European agar agar ensures perfect gels every time. Explore our complete range of modern culinary ingredients and revolutionize your creations in the kitchen.</x:v>
      </x:c>
      <x:c r="N182" s="230" t="str">
        <x:v>https://app.brandsearch.co/brand-analysis/specialingredients.it</x:v>
      </x:c>
    </x:row>
    <x:row r="183" ht="21" customHeight="1">
      <x:c r="A183" s="230" t="str">
        <x:v>IT</x:v>
      </x:c>
      <x:c r="B183" s="230" t="str">
        <x:v>pignatarogioielli.com</x:v>
      </x:c>
      <x:c r="C183" s="230" t="str">
        <x:v>Jewelry</x:v>
      </x:c>
      <x:c r="D183" s="231" t="n">
        <x:v>4076</x:v>
      </x:c>
      <x:c r="E183" s="231" t="n">
        <x:v>40</x:v>
      </x:c>
      <x:c r="F183" s="231" t="n">
        <x:v>0</x:v>
      </x:c>
      <x:c r="G183" s="232" t="n">
        <x:v>419.31</x:v>
      </x:c>
      <x:c r="H183" s="232" t="n">
        <x:f>G183/'Méthode'!$B$5</x:f>
        <x:v>366.68998688237866</x:v>
      </x:c>
      <x:c r="I183" s="232" t="n">
        <x:v>6.51</x:v>
      </x:c>
      <x:c r="J183" s="232" t="n">
        <x:v>15722.7</x:v>
      </x:c>
      <x:c r="K183" s="231" t="n">
        <x:v>2000</x:v>
      </x:c>
      <x:c r="L183" s="230" t="str">
        <x:v>bracelets ; necklaces ; rings ; earrings ; watches ; charms ; jewelry accessories</x:v>
      </x:c>
      <x:c r="M183" s="230" t="str">
        <x:v>Vieni a scoprire tutte le collezioni di anelli, bracciali, orecchini, collane e orologi per donna, uomo e bambini.</x:v>
      </x:c>
      <x:c r="N183" s="230" t="str">
        <x:v>https://app.brandsearch.co/brand-analysis/pignatarogioielli.com</x:v>
      </x:c>
    </x:row>
    <x:row r="184" ht="21" customHeight="1">
      <x:c r="A184" s="230" t="str">
        <x:v>IT</x:v>
      </x:c>
      <x:c r="B184" s="230" t="str">
        <x:v>www.pretabebe.com</x:v>
      </x:c>
      <x:c r="C184" s="230" t="str">
        <x:v>Baby &amp; Kids</x:v>
      </x:c>
      <x:c r="D184" s="231" t="n">
        <x:v>3345</x:v>
      </x:c>
      <x:c r="E184" s="231" t="n">
        <x:v>40</x:v>
      </x:c>
      <x:c r="F184" s="231" t="n">
        <x:v>0</x:v>
      </x:c>
      <x:c r="G184" s="232" t="n">
        <x:v>106.36</x:v>
      </x:c>
      <x:c r="H184" s="232" t="n">
        <x:f>G184/'Méthode'!$B$5</x:f>
        <x:v>93.0126803672934</x:v>
      </x:c>
      <x:c r="I184" s="232" t="n">
        <x:v>0.11</x:v>
      </x:c>
      <x:c r="J184" s="232" t="n">
        <x:v>2626.45</x:v>
      </x:c>
      <x:c r="K184" s="231" t="n">
        <x:v>2000</x:v>
      </x:c>
      <x:c r="L184" s="230" t="str">
        <x:v>strollers ; car seats ; high chairs ; baby accessories ; toys ; clothing for babies and toddlers ; baby care products</x:v>
      </x:c>
      <x:c r="M184" s="230" t="str">
        <x:v>PRET A BEBE</x:v>
      </x:c>
      <x:c r="N184" s="230" t="str">
        <x:v>https://app.brandsearch.co/brand-analysis/pretabebe.com</x:v>
      </x:c>
    </x:row>
    <x:row r="185" ht="21" customHeight="1">
      <x:c r="A185" s="230" t="str">
        <x:v>IT</x:v>
      </x:c>
      <x:c r="B185" s="230" t="str">
        <x:v>www.eglooh.com</x:v>
      </x:c>
      <x:c r="C185" s="230" t="str">
        <x:v>Other</x:v>
      </x:c>
      <x:c r="D185" s="231" t="n">
        <x:v>3334</x:v>
      </x:c>
      <x:c r="E185" s="231" t="n">
        <x:v>40</x:v>
      </x:c>
      <x:c r="F185" s="231" t="n">
        <x:v>0</x:v>
      </x:c>
      <x:c r="G185" s="232" t="n">
        <x:v>119.39</x:v>
      </x:c>
      <x:c r="H185" s="232" t="n">
        <x:f>G185/'Méthode'!$B$5</x:f>
        <x:v>104.40752076956713</x:v>
      </x:c>
      <x:c r="I185" s="232" t="n">
        <x:v>11.7</x:v>
      </x:c>
      <x:c r="J185" s="232" t="n">
        <x:v>428.7</x:v>
      </x:c>
      <x:c r="K185" s="231" t="n">
        <x:v>103</x:v>
      </x:c>
      <x:c r="L185" s="230" t="str">
        <x:v>desk pads ; coasters ; pen holders ; organizers ; paperweights ; accessories ; desk mats</x:v>
      </x:c>
      <x:c r="M185" s="230" t="str">
        <x:v>Rendi originale la tua scrivania con Eglooh: i nostri sottomani e accessori in pelle e cuoio sono la scelta di valore per il tuo spazio di lavoro.</x:v>
      </x:c>
      <x:c r="N185" s="230" t="str">
        <x:v>https://app.brandsearch.co/brand-analysis/eglooh.com</x:v>
      </x:c>
    </x:row>
    <x:row r="186" ht="21" customHeight="1">
      <x:c r="A186" s="230" t="str">
        <x:v>IT</x:v>
      </x:c>
      <x:c r="B186" s="230" t="str">
        <x:v>paomaorologi.com</x:v>
      </x:c>
      <x:c r="C186" s="230" t="str">
        <x:v>Fashion</x:v>
      </x:c>
      <x:c r="D186" s="231" t="n">
        <x:v>3332</x:v>
      </x:c>
      <x:c r="E186" s="231" t="n">
        <x:v>40</x:v>
      </x:c>
      <x:c r="F186" s="231" t="n">
        <x:v>0</x:v>
      </x:c>
      <x:c r="G186" s="232" t="n">
        <x:v>210.46</x:v>
      </x:c>
      <x:c r="H186" s="232" t="n">
        <x:f>G186/'Méthode'!$B$5</x:f>
        <x:v>184.0489724529952</x:v>
      </x:c>
      <x:c r="I186" s="232" t="n">
        <x:v>6.28</x:v>
      </x:c>
      <x:c r="J186" s="232" t="n">
        <x:v>5938.1</x:v>
      </x:c>
      <x:c r="K186" s="231" t="n">
        <x:v>775</x:v>
      </x:c>
      <x:c r="L186" s="230" t="str">
        <x:v>watches ; watch accessories ; watch straps ; watch winders ; watch storage cases</x:v>
      </x:c>
      <x:c r="M186" s="230" t="str">
        <x:v>Discover the brands available in our store, and buy your favorite watch at a very advantageous price. Free express shipping throughout Italy!</x:v>
      </x:c>
      <x:c r="N186" s="230" t="str">
        <x:v>https://app.brandsearch.co/brand-analysis/paomaorologi.com</x:v>
      </x:c>
    </x:row>
    <x:row r="187" ht="21" customHeight="1">
      <x:c r="A187" s="230" t="str">
        <x:v>IT</x:v>
      </x:c>
      <x:c r="B187" s="230" t="str">
        <x:v>www.isolaverdestore.it</x:v>
      </x:c>
      <x:c r="C187" s="230" t="str"/>
      <x:c r="D187" s="231" t="n">
        <x:v>2985</x:v>
      </x:c>
      <x:c r="E187" s="231" t="n">
        <x:v>40</x:v>
      </x:c>
      <x:c r="F187" s="231" t="n">
        <x:v>0</x:v>
      </x:c>
      <x:c r="G187" s="232" t="n">
        <x:v>114.42</x:v>
      </x:c>
      <x:c r="H187" s="232" t="n">
        <x:f>G187/'Méthode'!$B$5</x:f>
        <x:v>100.06121556624399</x:v>
      </x:c>
      <x:c r="I187" s="232" t="n">
        <x:v>1.59</x:v>
      </x:c>
      <x:c r="J187" s="232" t="n">
        <x:v>1701.46</x:v>
      </x:c>
      <x:c r="K187" s="231"/>
      <x:c r="L187" s="230" t="str"/>
      <x:c r="M187" s="230" t="str">
        <x:v>Brico - Giardinaggio - Ferramenta - Fai da te - Vernici - Tende da sole - Piscine - Zanzariere - Piante ornamentali - Cura della casa - Attrezzature per bagni - articoli per pulizia - salute e cura della persona</x:v>
      </x:c>
      <x:c r="N187" s="230" t="str">
        <x:v>https://app.brandsearch.co/brand-analysis/isolaverdestore.it</x:v>
      </x:c>
    </x:row>
    <x:row r="188" ht="21" customHeight="1">
      <x:c r="A188" s="230" t="str">
        <x:v>IT</x:v>
      </x:c>
      <x:c r="B188" s="230" t="str">
        <x:v>centrotermico.it</x:v>
      </x:c>
      <x:c r="C188" s="230" t="str">
        <x:v>Home &amp; Garden</x:v>
      </x:c>
      <x:c r="D188" s="231" t="n">
        <x:v>1688</x:v>
      </x:c>
      <x:c r="E188" s="231" t="n">
        <x:v>40</x:v>
      </x:c>
      <x:c r="F188" s="231" t="n">
        <x:v>0</x:v>
      </x:c>
      <x:c r="G188" s="232" t="n">
        <x:v>160.87</x:v>
      </x:c>
      <x:c r="H188" s="232" t="n">
        <x:f>G188/'Méthode'!$B$5</x:f>
        <x:v>140.68211630957586</x:v>
      </x:c>
      <x:c r="I188" s="232" t="n">
        <x:v>0.1</x:v>
      </x:c>
      <x:c r="J188" s="232" t="n">
        <x:v>7177.81</x:v>
      </x:c>
      <x:c r="K188" s="231" t="n">
        <x:v>1001</x:v>
      </x:c>
      <x:c r="L188" s="230" t="str">
        <x:v>heating systems ; climate control devices ; radiators ; thermostats ; plumbing accessories ; boilers ; water treatment products</x:v>
      </x:c>
      <x:c r="M188" s="230" t="str">
        <x:v>Centrotermico Matera - Azienda specializzata in Termoidraulica Climatizzazione Riscaldamento Solare</x:v>
      </x:c>
      <x:c r="N188" s="230" t="str">
        <x:v>https://app.brandsearch.co/brand-analysis/centrotermico.it</x:v>
      </x:c>
    </x:row>
    <x:row r="189" ht="21" customHeight="1">
      <x:c r="A189" s="230" t="str">
        <x:v>IT</x:v>
      </x:c>
      <x:c r="B189" s="230" t="str">
        <x:v>popsee.it</x:v>
      </x:c>
      <x:c r="C189" s="230" t="str">
        <x:v>Fashion</x:v>
      </x:c>
      <x:c r="D189" s="231" t="n">
        <x:v>1508</x:v>
      </x:c>
      <x:c r="E189" s="231" t="n">
        <x:v>40</x:v>
      </x:c>
      <x:c r="F189" s="231" t="n">
        <x:v>0</x:v>
      </x:c>
      <x:c r="G189" s="232" t="n">
        <x:v>189.68</x:v>
      </x:c>
      <x:c r="H189" s="232" t="n">
        <x:f>G189/'Méthode'!$B$5</x:f>
        <x:v>165.87669435942283</x:v>
      </x:c>
      <x:c r="I189" s="232" t="n">
        <x:v>46.25</x:v>
      </x:c>
      <x:c r="J189" s="232" t="n">
        <x:v>1086.69</x:v>
      </x:c>
      <x:c r="K189" s="231" t="n">
        <x:v>2000</x:v>
      </x:c>
      <x:c r="L189" s="230" t="str">
        <x:v>sunglasses ; eyewear ; accessories ; fashion glasses ; designer sunglasses</x:v>
      </x:c>
      <x:c r="M189" s="230" t="str">
        <x:v>Popsee è un rivenditore online di occhiali da sole. Offriamo una vasta gamma di prodotti delle migliori marche a prezzi incredibili.</x:v>
      </x:c>
      <x:c r="N189" s="230" t="str">
        <x:v>https://app.brandsearch.co/brand-analysis/popsee.it</x:v>
      </x:c>
    </x:row>
    <x:row r="190" ht="21" customHeight="1">
      <x:c r="A190" s="230" t="str">
        <x:v>IT</x:v>
      </x:c>
      <x:c r="B190" s="230" t="str">
        <x:v>www.vivistore.it</x:v>
      </x:c>
      <x:c r="C190" s="230" t="str">
        <x:v>Home Decor</x:v>
      </x:c>
      <x:c r="D190" s="231" t="n">
        <x:v>1112</x:v>
      </x:c>
      <x:c r="E190" s="231" t="n">
        <x:v>40</x:v>
      </x:c>
      <x:c r="F190" s="231" t="n">
        <x:v>0</x:v>
      </x:c>
      <x:c r="G190" s="232" t="n">
        <x:v>219.83</x:v>
      </x:c>
      <x:c r="H190" s="232" t="n">
        <x:f>G190/'Méthode'!$B$5</x:f>
        <x:v>192.24311324879756</x:v>
      </x:c>
      <x:c r="I190" s="232" t="n">
        <x:v>9.14</x:v>
      </x:c>
      <x:c r="J190" s="232" t="n">
        <x:v>2121.79</x:v>
      </x:c>
      <x:c r="K190" s="231" t="n">
        <x:v>1811</x:v>
      </x:c>
      <x:c r="L190" s="230" t="str">
        <x:v>hotel amenities ; disposable tableware ; cleaning supplies ; waste management containers ; professional cleaning equipment ; odor control products ; hospitality linens</x:v>
      </x:c>
      <x:c r="M190" s="230" t="str">
        <x:v>Vivistore.it - Forniture per Hotel, Ristoranti, Pizzerie, Imprese di Pulizie, Studi medici, Ospedali, Comunità, privati, settore Ho.re.Ca. Tovagliato Monouso, Linee di Cortesia Hotel, Complementi di Arredo, Raccolta Differenziata, Tappeti Professionali, Carrelli Pulizia Professionale, Portabiancheria</x:v>
      </x:c>
      <x:c r="N190" s="230" t="str">
        <x:v>https://app.brandsearch.co/brand-analysis/vivistore.it</x:v>
      </x:c>
    </x:row>
    <x:row r="191" ht="21" customHeight="1">
      <x:c r="A191" s="230" t="str">
        <x:v>IT</x:v>
      </x:c>
      <x:c r="B191" s="230" t="str">
        <x:v>gioiellerialucentini.it</x:v>
      </x:c>
      <x:c r="C191" s="230" t="str">
        <x:v>Jewelry</x:v>
      </x:c>
      <x:c r="D191" s="231" t="n">
        <x:v>736</x:v>
      </x:c>
      <x:c r="E191" s="231" t="n">
        <x:v>40</x:v>
      </x:c>
      <x:c r="F191" s="231" t="n">
        <x:v>0</x:v>
      </x:c>
      <x:c r="G191" s="232" t="n">
        <x:v>294.41</x:v>
      </x:c>
      <x:c r="H191" s="232" t="n">
        <x:f>G191/'Méthode'!$B$5</x:f>
        <x:v>257.4639265413205</x:v>
      </x:c>
      <x:c r="I191" s="232" t="n">
        <x:v>30.82</x:v>
      </x:c>
      <x:c r="J191" s="232" t="n">
        <x:v>4696.9</x:v>
      </x:c>
      <x:c r="K191" s="231" t="n">
        <x:v>471</x:v>
      </x:c>
      <x:c r="L191" s="230" t="str">
        <x:v>jewelry ; bracelets ; pendants ; earrings ; necklaces ; watches</x:v>
      </x:c>
      <x:c r="M191" s="230" t="str">
        <x:v>Vendita online di articoli di gioielleria ed orologeria italiana dei migliori brand. Spedizione in 24/48H. Idee regalo preziose per ogni occasione.</x:v>
      </x:c>
      <x:c r="N191" s="230" t="str">
        <x:v>https://app.brandsearch.co/brand-analysis/gioiellerialucentini.it</x:v>
      </x:c>
    </x:row>
    <x:row r="192" ht="21" customHeight="1">
      <x:c r="A192" s="230" t="str">
        <x:v>IT</x:v>
      </x:c>
      <x:c r="B192" s="230" t="str">
        <x:v>slipdoctors.it</x:v>
      </x:c>
      <x:c r="C192" s="230" t="str">
        <x:v>Home &amp; Garden</x:v>
      </x:c>
      <x:c r="D192" s="231" t="n">
        <x:v>510</x:v>
      </x:c>
      <x:c r="E192" s="231" t="n">
        <x:v>40</x:v>
      </x:c>
      <x:c r="F192" s="231" t="n">
        <x:v>0</x:v>
      </x:c>
      <x:c r="G192" s="232" t="n">
        <x:v>114.98</x:v>
      </x:c>
      <x:c r="H192" s="232" t="n">
        <x:f>G192/'Méthode'!$B$5</x:f>
        <x:v>100.5509400961959</x:v>
      </x:c>
      <x:c r="I192" s="232" t="n">
        <x:v>37.44</x:v>
      </x:c>
      <x:c r="J192" s="232" t="n">
        <x:v>280.8</x:v>
      </x:c>
      <x:c r="K192" s="231" t="n">
        <x:v>12</x:v>
      </x:c>
      <x:c r="L192" s="230" t="str">
        <x:v>anti-slip floor treatments ; anti-slip paints ; anti-slip coatings ; anti-slip sealants ; anti-slip tapes ; safety floor solutions ; anti-slip products for tiles and concrete</x:v>
      </x:c>
      <x:c r="M192" s="230" t="str">
        <x:v>Affidati a SlipDoctors per le migliori soluzioni antiscivolo. Con 15 anni di esperienza, offriamo prodotti sicuri, sostenibili e facili da applicare per pavimenti, bagni e scale, offrendo una protezione affidabile e duratura in ogni ambiente.</x:v>
      </x:c>
      <x:c r="N192" s="230" t="str">
        <x:v>https://app.brandsearch.co/brand-analysis/slipdoctors.it</x:v>
      </x:c>
    </x:row>
    <x:row r="193" ht="21" customHeight="1">
      <x:c r="A193" s="230" t="str">
        <x:v>IT</x:v>
      </x:c>
      <x:c r="B193" s="230" t="str">
        <x:v>mancinishoes.com</x:v>
      </x:c>
      <x:c r="C193" s="230" t="str">
        <x:v>Fashion</x:v>
      </x:c>
      <x:c r="D193" s="231" t="n">
        <x:v>222</x:v>
      </x:c>
      <x:c r="E193" s="231" t="n">
        <x:v>40</x:v>
      </x:c>
      <x:c r="F193" s="231" t="n">
        <x:v>0</x:v>
      </x:c>
      <x:c r="G193" s="232" t="n">
        <x:v>142.95</x:v>
      </x:c>
      <x:c r="H193" s="232" t="n">
        <x:f>G193/'Méthode'!$B$5</x:f>
        <x:v>125.01093135111499</x:v>
      </x:c>
      <x:c r="I193" s="232" t="n">
        <x:v>97.86</x:v>
      </x:c>
      <x:c r="J193" s="232" t="n">
        <x:v>195.73</x:v>
      </x:c>
      <x:c r="K193" s="231" t="n">
        <x:v>75</x:v>
      </x:c>
      <x:c r="L193" s="230" t="str">
        <x:v>leather boots ; ankle boots ; texan boots ; suede boots ; pelle shoes ; camoscio shoes</x:v>
      </x:c>
      <x:c r="M193" s="230" t="str">
        <x:v>Mancini Calzature</x:v>
      </x:c>
      <x:c r="N193" s="230" t="str">
        <x:v>https://app.brandsearch.co/brand-analysis/mancinishoes.com</x:v>
      </x:c>
    </x:row>
    <x:row r="194" ht="21" customHeight="1">
      <x:c r="A194" s="230" t="str">
        <x:v>IT</x:v>
      </x:c>
      <x:c r="B194" s="230" t="str">
        <x:v>andrealelettricista24ore.com</x:v>
      </x:c>
      <x:c r="C194" s="230" t="str">
        <x:v>Home &amp; Garden</x:v>
      </x:c>
      <x:c r="D194" s="231" t="n">
        <x:v>0</x:v>
      </x:c>
      <x:c r="E194" s="231" t="n">
        <x:v>40</x:v>
      </x:c>
      <x:c r="F194" s="231" t="n">
        <x:v>0</x:v>
      </x:c>
      <x:c r="G194" s="232" t="n">
        <x:v>102.77</x:v>
      </x:c>
      <x:c r="H194" s="232" t="n">
        <x:f>G194/'Méthode'!$B$5</x:f>
        <x:v>89.87319632706603</x:v>
      </x:c>
      <x:c r="I194" s="232" t="n">
        <x:v>68.51</x:v>
      </x:c>
      <x:c r="J194" s="232" t="n">
        <x:v>137.03</x:v>
      </x:c>
      <x:c r="K194" s="231" t="n">
        <x:v>11</x:v>
      </x:c>
      <x:c r="L194" s="230" t="str">
        <x:v>smart lighting ; led bulbs ; smart switches ; home security devices ; decorative led strips ; electrical installation services ; certification and inspection services</x:v>
      </x:c>
      <x:c r="M194" s="230" t="str">
        <x:v>Elettricista H24 a Monza, Brianza e Milano. Pronto intervento, guasti, salvavita, impianti, citofoni e certificazioni. Chiama ora.</x:v>
      </x:c>
      <x:c r="N194" s="230" t="str">
        <x:v>https://app.brandsearch.co/brand-analysis/andrealelettricista24ore.com</x:v>
      </x:c>
    </x:row>
    <x:row r="195" ht="21" customHeight="1">
      <x:c r="A195" s="230" t="str">
        <x:v>NL</x:v>
      </x:c>
      <x:c r="B195" s="230" t="str">
        <x:v>www.fonq.nl</x:v>
      </x:c>
      <x:c r="C195" s="230" t="str">
        <x:v>Home &amp; Garden</x:v>
      </x:c>
      <x:c r="D195" s="231" t="n">
        <x:v>354397</x:v>
      </x:c>
      <x:c r="E195" s="231" t="n">
        <x:v>40</x:v>
      </x:c>
      <x:c r="F195" s="231" t="n">
        <x:v>0</x:v>
      </x:c>
      <x:c r="G195" s="232" t="n">
        <x:v>335.38</x:v>
      </x:c>
      <x:c r="H195" s="232" t="n">
        <x:f>G195/'Méthode'!$B$5</x:f>
        <x:v>293.29252295583734</x:v>
      </x:c>
      <x:c r="I195" s="232" t="n">
        <x:v>0.29</x:v>
      </x:c>
      <x:c r="J195" s="232" t="n">
        <x:v>17223.01</x:v>
      </x:c>
      <x:c r="K195" s="231" t="n">
        <x:v>2000</x:v>
      </x:c>
      <x:c r="L195" s="230" t="str">
        <x:v>lighting fixtures ; furniture ; kitchenware ; home decor ; storage solutions ; interior accessories ; gift items</x:v>
      </x:c>
      <x:c r="M195" s="230" t="str">
        <x:v>Kan jouw huis wel wat fonQ gebruiken? Naast een groot aanbod voor je interieur vind je ook keuzehulp en inspiratie. Geef je huis wat fonQ.</x:v>
      </x:c>
      <x:c r="N195" s="230" t="str">
        <x:v>https://app.brandsearch.co/brand-analysis/fonq.nl</x:v>
      </x:c>
    </x:row>
    <x:row r="196" ht="21" customHeight="1">
      <x:c r="A196" s="230" t="str">
        <x:v>NL</x:v>
      </x:c>
      <x:c r="B196" s="230" t="str">
        <x:v>tameson.com</x:v>
      </x:c>
      <x:c r="C196" s="230" t="str">
        <x:v>Other</x:v>
      </x:c>
      <x:c r="D196" s="231" t="n">
        <x:v>195790</x:v>
      </x:c>
      <x:c r="E196" s="231" t="n">
        <x:v>40</x:v>
      </x:c>
      <x:c r="F196" s="231" t="n">
        <x:v>0</x:v>
      </x:c>
      <x:c r="G196" s="232" t="n">
        <x:v>438.24</x:v>
      </x:c>
      <x:c r="H196" s="232" t="n">
        <x:f>G196/'Méthode'!$B$5</x:f>
        <x:v>383.24442501093137</x:v>
      </x:c>
      <x:c r="I196" s="232" t="n">
        <x:v>0.04</x:v>
      </x:c>
      <x:c r="J196" s="232" t="n">
        <x:v>45245.88</x:v>
      </x:c>
      <x:c r="K196" s="231" t="n">
        <x:v>2000</x:v>
      </x:c>
      <x:c r="L196" s="230" t="str">
        <x:v>valves ; fittings ; pneumatics ; industrial controllers ; timers ; sensors ; actuators ; solenoid valves</x:v>
      </x:c>
      <x:c r="M196" s="230" t="str">
        <x:v>Shop 100,000+ valves, fittings, pneumatics, &amp; more at Tameson.com with same-day shipment. Engineers ready to help &amp; a 4.9/5 customer rating. Buy online today!</x:v>
      </x:c>
      <x:c r="N196" s="230" t="str">
        <x:v>https://app.brandsearch.co/brand-analysis/tameson.com</x:v>
      </x:c>
    </x:row>
    <x:row r="197" ht="21" customHeight="1">
      <x:c r="A197" s="230" t="str">
        <x:v>NL</x:v>
      </x:c>
      <x:c r="B197" s="230" t="str">
        <x:v>www.correct.nl</x:v>
      </x:c>
      <x:c r="C197" s="230" t="str">
        <x:v>Electronics &amp; Tech</x:v>
      </x:c>
      <x:c r="D197" s="231" t="n">
        <x:v>139212</x:v>
      </x:c>
      <x:c r="E197" s="231" t="n">
        <x:v>40</x:v>
      </x:c>
      <x:c r="F197" s="231" t="n">
        <x:v>0</x:v>
      </x:c>
      <x:c r="G197" s="232" t="n">
        <x:v>170.84</x:v>
      </x:c>
      <x:c r="H197" s="232" t="n">
        <x:f>G197/'Méthode'!$B$5</x:f>
        <x:v>149.40096195889814</x:v>
      </x:c>
      <x:c r="I197" s="232" t="n">
        <x:v>0.11</x:v>
      </x:c>
      <x:c r="J197" s="232" t="n">
        <x:v>13703.74</x:v>
      </x:c>
      <x:c r="K197" s="231" t="n">
        <x:v>2000</x:v>
      </x:c>
      <x:c r="L197" s="230" t="str">
        <x:v>televisions ; audio equipment ; home appliances ; marine electronics ; watersport gear ; fietssport equipment ; personal care products</x:v>
      </x:c>
      <x:c r="M197" s="230" t="str">
        <x:v>Correct in Rotterdam Ceintuurbaan 111, speciaalzaak op gebied van televisie, HiFi en audio-appartuur, autoradio, witgoed, huishoudelijke producten, persoonlijke verzorging. Breed assortiment marine-elektronica, watersport en fietssport. Grootste elektronica-winkel, 7 dagen per week open, parkeren direct voor de deur.</x:v>
      </x:c>
      <x:c r="N197" s="230" t="str">
        <x:v>https://app.brandsearch.co/brand-analysis/correct.nl</x:v>
      </x:c>
    </x:row>
    <x:row r="198" ht="21" customHeight="1">
      <x:c r="A198" s="230" t="str">
        <x:v>NL</x:v>
      </x:c>
      <x:c r="B198" s="230" t="str">
        <x:v>huismerken.nl</x:v>
      </x:c>
      <x:c r="C198" s="230" t="str">
        <x:v>Home &amp; Garden</x:v>
      </x:c>
      <x:c r="D198" s="231" t="n">
        <x:v>98133</x:v>
      </x:c>
      <x:c r="E198" s="231" t="n">
        <x:v>40</x:v>
      </x:c>
      <x:c r="F198" s="231" t="n">
        <x:v>0</x:v>
      </x:c>
      <x:c r="G198" s="232" t="n">
        <x:v>264.74</x:v>
      </x:c>
      <x:c r="H198" s="232" t="n">
        <x:f>G198/'Méthode'!$B$5</x:f>
        <x:v>231.5172715347617</x:v>
      </x:c>
      <x:c r="I198" s="232" t="n">
        <x:v>1.14</x:v>
      </x:c>
      <x:c r="J198" s="232" t="n">
        <x:v>5650.39</x:v>
      </x:c>
      <x:c r="K198" s="231" t="n">
        <x:v>2000</x:v>
      </x:c>
      <x:c r="L198" s="230" t="str">
        <x:v>garden structures ; outdoor furniture ; garden tools ; outdoor equipment ; home decor ; garden accessories ; diy supplies</x:v>
      </x:c>
      <x:c r="M198" s="230" t="str">
        <x:v>Producten vergelijkbaar met de producten van A-merken, maar zonder alle poespas aan fancy verpakkingen en dure reclamespotjes. Net zo goed, voor minder geld.</x:v>
      </x:c>
      <x:c r="N198" s="230" t="str">
        <x:v>https://app.brandsearch.co/brand-analysis/huismerken.nl</x:v>
      </x:c>
    </x:row>
    <x:row r="199" ht="21" customHeight="1">
      <x:c r="A199" s="230" t="str">
        <x:v>NL</x:v>
      </x:c>
      <x:c r="B199" s="230" t="str">
        <x:v>www.isabelbernard.com</x:v>
      </x:c>
      <x:c r="C199" s="230" t="str">
        <x:v>Jewelry</x:v>
      </x:c>
      <x:c r="D199" s="231" t="n">
        <x:v>75414</x:v>
      </x:c>
      <x:c r="E199" s="231" t="n">
        <x:v>40</x:v>
      </x:c>
      <x:c r="F199" s="231" t="n">
        <x:v>0</x:v>
      </x:c>
      <x:c r="G199" s="232" t="n">
        <x:v>352.09</x:v>
      </x:c>
      <x:c r="H199" s="232" t="n">
        <x:f>G199/'Méthode'!$B$5</x:f>
        <x:v>307.9055531263664</x:v>
      </x:c>
      <x:c r="I199" s="232" t="n">
        <x:v>6</x:v>
      </x:c>
      <x:c r="J199" s="232" t="n">
        <x:v>3304</x:v>
      </x:c>
      <x:c r="K199" s="231" t="n">
        <x:v>632</x:v>
      </x:c>
      <x:c r="L199" s="230" t="str">
        <x:v>gold jewelry ; initial necklaces ; gold rings ; ear studs ; bracelets ; hoop earrings ; leather accessories</x:v>
      </x:c>
      <x:c r="M199" s="230" t="str">
        <x:v>Discover Isabel Bernard's gold jewellery and leather goods: feminine, elegant and modern, with a touch of "je ne sais quoi" - View the collection and order!</x:v>
      </x:c>
      <x:c r="N199" s="230" t="str">
        <x:v>https://app.brandsearch.co/brand-analysis/isabelbernard.com</x:v>
      </x:c>
    </x:row>
    <x:row r="200" ht="21" customHeight="1">
      <x:c r="A200" s="230" t="str">
        <x:v>NL</x:v>
      </x:c>
      <x:c r="B200" s="230" t="str">
        <x:v>tameson.es</x:v>
      </x:c>
      <x:c r="C200" s="230" t="str">
        <x:v>Other</x:v>
      </x:c>
      <x:c r="D200" s="231" t="n">
        <x:v>61209</x:v>
      </x:c>
      <x:c r="E200" s="231" t="n">
        <x:v>40</x:v>
      </x:c>
      <x:c r="F200" s="231" t="n">
        <x:v>0</x:v>
      </x:c>
      <x:c r="G200" s="232" t="n">
        <x:v>327.04</x:v>
      </x:c>
      <x:c r="H200" s="232" t="n">
        <x:f>G200/'Méthode'!$B$5</x:f>
        <x:v>285.99912549191083</x:v>
      </x:c>
      <x:c r="I200" s="232" t="n">
        <x:v>0.01</x:v>
      </x:c>
      <x:c r="J200" s="232" t="n">
        <x:v>34185.72</x:v>
      </x:c>
      <x:c r="K200" s="231" t="n">
        <x:v>2000</x:v>
      </x:c>
      <x:c r="L200" s="230" t="str">
        <x:v>valves ; connectors ; pneumatic components ; electrovalves ; couplings ; pressure switches</x:v>
      </x:c>
      <x:c r="M200" s="230" t="str">
        <x:v>Shop 100,000+ valves, fittings, pneumatics, &amp; more at Tameson.com with same-day shipment. Engineers ready to help &amp; a 4.9/5 customer rating. Buy online today!</x:v>
      </x:c>
      <x:c r="N200" s="230" t="str">
        <x:v>https://app.brandsearch.co/brand-analysis/tameson.es</x:v>
      </x:c>
    </x:row>
    <x:row r="201" ht="21" customHeight="1">
      <x:c r="A201" s="230" t="str">
        <x:v>NL</x:v>
      </x:c>
      <x:c r="B201" s="230" t="str">
        <x:v>www.lenco.com</x:v>
      </x:c>
      <x:c r="C201" s="230" t="str">
        <x:v>Electronics &amp; Tech</x:v>
      </x:c>
      <x:c r="D201" s="231" t="n">
        <x:v>54633</x:v>
      </x:c>
      <x:c r="E201" s="231" t="n">
        <x:v>40</x:v>
      </x:c>
      <x:c r="F201" s="231" t="n">
        <x:v>0</x:v>
      </x:c>
      <x:c r="G201" s="232" t="n">
        <x:v>101.51</x:v>
      </x:c>
      <x:c r="H201" s="232" t="n">
        <x:f>G201/'Méthode'!$B$5</x:f>
        <x:v>88.77131613467425</x:v>
      </x:c>
      <x:c r="I201" s="232" t="n">
        <x:v>3.41</x:v>
      </x:c>
      <x:c r="J201" s="232" t="n">
        <x:v>799.37</x:v>
      </x:c>
      <x:c r="K201" s="231" t="n">
        <x:v>363</x:v>
      </x:c>
      <x:c r="L201" s="230" t="str">
        <x:v>turntables ; speakers ; radio ; stereo sets ; vinyl record accessories ; bluetooth® cd/mp3 players ; record cleaning kits ; karaoke microphones</x:v>
      </x:c>
      <x:c r="M201" s="230" t="str">
        <x:v>Bekijk op Lenco.com het aanbod platenspelers, radio's, speakers, stereo sets en meer. Lenco is al meer dan 75 jaar een begrip in Europa. Bezoek onze webshop via Lenco.com.</x:v>
      </x:c>
      <x:c r="N201" s="230" t="str">
        <x:v>https://app.brandsearch.co/brand-analysis/lenco.com</x:v>
      </x:c>
    </x:row>
    <x:row r="202" ht="21" customHeight="1">
      <x:c r="A202" s="230" t="str">
        <x:v>NL</x:v>
      </x:c>
      <x:c r="B202" s="230" t="str">
        <x:v>marmitek.com</x:v>
      </x:c>
      <x:c r="C202" s="230" t="str">
        <x:v>Electronics &amp; Tech</x:v>
      </x:c>
      <x:c r="D202" s="231" t="n">
        <x:v>50011</x:v>
      </x:c>
      <x:c r="E202" s="231" t="n">
        <x:v>40</x:v>
      </x:c>
      <x:c r="F202" s="231" t="n">
        <x:v>0</x:v>
      </x:c>
      <x:c r="G202" s="232" t="n">
        <x:v>120.1</x:v>
      </x:c>
      <x:c r="H202" s="232" t="n">
        <x:f>G202/'Méthode'!$B$5</x:f>
        <x:v>105.02842151289899</x:v>
      </x:c>
      <x:c r="I202" s="232" t="n">
        <x:v>5.7</x:v>
      </x:c>
      <x:c r="J202" s="232" t="n">
        <x:v>913.56</x:v>
      </x:c>
      <x:c r="K202" s="231" t="n">
        <x:v>99</x:v>
      </x:c>
      <x:c r="L202" s="230" t="str">
        <x:v>wireless security cameras ; wireless doorbells ; wireless speakers ; wireless hdmi transmitters ; smart home solutions</x:v>
      </x:c>
      <x:c r="M202" s="230" t="str">
        <x:v>Marmitek ontwikkelt al meer dan 30 jaar draadloze AV-oplossingen voor thuis en op kantoor. Ontdek oplossingen voor draadloos beeld, geluid, HDMI-extenders, draadloos presenteren en AV-connectiviteit.</x:v>
      </x:c>
      <x:c r="N202" s="230" t="str">
        <x:v>https://app.brandsearch.co/brand-analysis/marmitek.com</x:v>
      </x:c>
    </x:row>
    <x:row r="203" ht="21" customHeight="1">
      <x:c r="A203" s="230" t="str">
        <x:v>NL</x:v>
      </x:c>
      <x:c r="B203" s="230" t="str">
        <x:v>tameson.nl</x:v>
      </x:c>
      <x:c r="C203" s="230" t="str">
        <x:v>Other</x:v>
      </x:c>
      <x:c r="D203" s="231" t="n">
        <x:v>49041</x:v>
      </x:c>
      <x:c r="E203" s="231" t="n">
        <x:v>40</x:v>
      </x:c>
      <x:c r="F203" s="231" t="n">
        <x:v>0</x:v>
      </x:c>
      <x:c r="G203" s="232" t="n">
        <x:v>367.42</x:v>
      </x:c>
      <x:c r="H203" s="232" t="n">
        <x:f>G203/'Méthode'!$B$5</x:f>
        <x:v>321.3117621337998</x:v>
      </x:c>
      <x:c r="I203" s="232" t="n">
        <x:v>0.01</x:v>
      </x:c>
      <x:c r="J203" s="232" t="n">
        <x:v>39200.23</x:v>
      </x:c>
      <x:c r="K203" s="231" t="n">
        <x:v>2000</x:v>
      </x:c>
      <x:c r="L203" s="230" t="str">
        <x:v>valves ; fittings ; electrical solenoids ; industrial controllers ; actuators ; pneumatic components</x:v>
      </x:c>
      <x:c r="M203" s="230" t="str">
        <x:v>Vind 100.000+ afsluiters, fittingen en meer bij Tameson.nl. Klanten geven ons 4,9/5. Snelle levering. Advies nodig? Ingenieurs helpen graag!</x:v>
      </x:c>
      <x:c r="N203" s="230" t="str">
        <x:v>https://app.brandsearch.co/brand-analysis/tameson.nl</x:v>
      </x:c>
    </x:row>
    <x:row r="204" ht="21" customHeight="1">
      <x:c r="A204" s="230" t="str">
        <x:v>NL</x:v>
      </x:c>
      <x:c r="B204" s="230" t="str">
        <x:v>keizers.nu</x:v>
      </x:c>
      <x:c r="C204" s="230" t="str">
        <x:v>Other</x:v>
      </x:c>
      <x:c r="D204" s="231" t="n">
        <x:v>44410</x:v>
      </x:c>
      <x:c r="E204" s="231" t="n">
        <x:v>40</x:v>
      </x:c>
      <x:c r="F204" s="231" t="n">
        <x:v>0</x:v>
      </x:c>
      <x:c r="G204" s="232" t="n">
        <x:v>174.51</x:v>
      </x:c>
      <x:c r="H204" s="232" t="n">
        <x:f>G204/'Méthode'!$B$5</x:f>
        <x:v>152.61040664626148</x:v>
      </x:c>
      <x:c r="I204" s="232" t="n">
        <x:v>0.11</x:v>
      </x:c>
      <x:c r="J204" s="232" t="n">
        <x:v>87928.74</x:v>
      </x:c>
      <x:c r="K204" s="231" t="n">
        <x:v>2000</x:v>
      </x:c>
      <x:c r="L204" s="230" t="str">
        <x:v>chainsaws ; hedge trimmers ; lawn mowers ; garden tools ; accessories for power tools ; garden safety gear ; maintenance equipment</x:v>
      </x:c>
      <x:c r="M204" s="230" t="str">
        <x:v>Jouw specialist in tuin- en parkmachines sinds 1956. Met meer dan 70 jaar ervaring en vestigingen in Haaksbergen en Enschede bieden wij verkoop, service en onderhoud van tuinmachines. Ontdek topmerken zoals STIHL, Husqvarna, Honda en Milwaukee.</x:v>
      </x:c>
      <x:c r="N204" s="230" t="str">
        <x:v>https://app.brandsearch.co/brand-analysis/keizers.nu</x:v>
      </x:c>
    </x:row>
    <x:row r="205" ht="21" customHeight="1">
      <x:c r="A205" s="230" t="str">
        <x:v>NL</x:v>
      </x:c>
      <x:c r="B205" s="230" t="str">
        <x:v>www.fonq.be</x:v>
      </x:c>
      <x:c r="C205" s="230" t="str">
        <x:v>Home &amp; Garden</x:v>
      </x:c>
      <x:c r="D205" s="231" t="n">
        <x:v>40851</x:v>
      </x:c>
      <x:c r="E205" s="231" t="n">
        <x:v>40</x:v>
      </x:c>
      <x:c r="F205" s="231" t="n">
        <x:v>0</x:v>
      </x:c>
      <x:c r="G205" s="232" t="n">
        <x:v>331.71</x:v>
      </x:c>
      <x:c r="H205" s="232" t="n">
        <x:f>G205/'Méthode'!$B$5</x:f>
        <x:v>290.08307826847397</x:v>
      </x:c>
      <x:c r="I205" s="232" t="n">
        <x:v>0.29</x:v>
      </x:c>
      <x:c r="J205" s="232" t="n">
        <x:v>17262.7</x:v>
      </x:c>
      <x:c r="K205" s="231" t="n">
        <x:v>2000</x:v>
      </x:c>
      <x:c r="L205" s="230" t="str">
        <x:v>lighting fixtures ; furniture ; kitchenware ; home decor ; storage solutions ; gift items</x:v>
      </x:c>
      <x:c r="M205" s="230" t="str">
        <x:v>Kan jouw huis wel wat fonQ gebruiken? Naast een groot aanbod voor je interieur vind je ook keuzehulp en inspiratie. Geef je huis wat fonQ.</x:v>
      </x:c>
      <x:c r="N205" s="230" t="str">
        <x:v>https://app.brandsearch.co/brand-analysis/fonq.be</x:v>
      </x:c>
    </x:row>
    <x:row r="206" ht="21" customHeight="1">
      <x:c r="A206" s="230" t="str">
        <x:v>NL</x:v>
      </x:c>
      <x:c r="B206" s="230" t="str">
        <x:v>www.oxigo.co</x:v>
      </x:c>
      <x:c r="C206" s="230" t="str">
        <x:v>Health &amp; Supplements</x:v>
      </x:c>
      <x:c r="D206" s="231" t="n">
        <x:v>33541</x:v>
      </x:c>
      <x:c r="E206" s="231" t="n">
        <x:v>40</x:v>
      </x:c>
      <x:c r="F206" s="231" t="n">
        <x:v>0</x:v>
      </x:c>
      <x:c r="G206" s="232" t="n">
        <x:v>205.13</x:v>
      </x:c>
      <x:c r="H206" s="232" t="n">
        <x:f>G206/'Méthode'!$B$5</x:f>
        <x:v>179.38784433756013</x:v>
      </x:c>
      <x:c r="I206" s="232" t="n">
        <x:v>1.54</x:v>
      </x:c>
      <x:c r="J206" s="232" t="n">
        <x:v>5366.06</x:v>
      </x:c>
      <x:c r="K206" s="231" t="n">
        <x:v>706</x:v>
      </x:c>
      <x:c r="L206" s="230" t="str">
        <x:v>oxygen concentrators ; cpap machines ; oxygen masks ; nasal cannulas ; sleep therapy accessories ; respiratory therapy equipment ; cpap batteries ; toebehoren</x:v>
      </x:c>
      <x:c r="M206" s="230" t="str">
        <x:v>De beste keus voor uw zuurstoftherapie, slaaptherapie, ademtherapie en nog veel meer! Oxigo is specialist in zuurstofconcentrators en alle toebehoren.</x:v>
      </x:c>
      <x:c r="N206" s="230" t="str">
        <x:v>https://app.brandsearch.co/brand-analysis/oxigo.co</x:v>
      </x:c>
    </x:row>
    <x:row r="207" ht="21" customHeight="1">
      <x:c r="A207" s="230" t="str">
        <x:v>NL</x:v>
      </x:c>
      <x:c r="B207" s="230" t="str">
        <x:v>tenuedenimes.com</x:v>
      </x:c>
      <x:c r="C207" s="230" t="str">
        <x:v>Fashion</x:v>
      </x:c>
      <x:c r="D207" s="231" t="n">
        <x:v>30139</x:v>
      </x:c>
      <x:c r="E207" s="231" t="n">
        <x:v>40</x:v>
      </x:c>
      <x:c r="F207" s="231" t="n">
        <x:v>0</x:v>
      </x:c>
      <x:c r="G207" s="232" t="n">
        <x:v>258.22</x:v>
      </x:c>
      <x:c r="H207" s="232" t="n">
        <x:f>G207/'Méthode'!$B$5</x:f>
        <x:v>225.81547879317887</x:v>
      </x:c>
      <x:c r="I207" s="232" t="n">
        <x:v>11.37</x:v>
      </x:c>
      <x:c r="J207" s="232" t="n">
        <x:v>3108.87</x:v>
      </x:c>
      <x:c r="K207" s="231" t="n">
        <x:v>669</x:v>
      </x:c>
      <x:c r="L207" s="230" t="str">
        <x:v>jeans ; t-shirts ; sneakers ; accessories ; hats</x:v>
      </x:c>
      <x:c r="M207" s="230" t="str">
        <x:v>Shop our latest collections at Tenue de Nîmes and read the background stories for a more in-depth impression of our collaborations and brands.</x:v>
      </x:c>
      <x:c r="N207" s="230" t="str">
        <x:v>https://app.brandsearch.co/brand-analysis/tenuedenimes.com</x:v>
      </x:c>
    </x:row>
    <x:row r="208" ht="21" customHeight="1">
      <x:c r="A208" s="230" t="str">
        <x:v>NL</x:v>
      </x:c>
      <x:c r="B208" s="230" t="str">
        <x:v>www.travelinoutdoor.nl</x:v>
      </x:c>
      <x:c r="C208" s="230" t="str">
        <x:v>Sports &amp; Outdoors</x:v>
      </x:c>
      <x:c r="D208" s="231" t="n">
        <x:v>29208</x:v>
      </x:c>
      <x:c r="E208" s="231" t="n">
        <x:v>40</x:v>
      </x:c>
      <x:c r="F208" s="231" t="n">
        <x:v>0</x:v>
      </x:c>
      <x:c r="G208" s="232" t="n">
        <x:v>192.95</x:v>
      </x:c>
      <x:c r="H208" s="232" t="n">
        <x:f>G208/'Méthode'!$B$5</x:f>
        <x:v>168.73633581110624</x:v>
      </x:c>
      <x:c r="I208" s="232" t="n">
        <x:v>34.2</x:v>
      </x:c>
      <x:c r="J208" s="232" t="n">
        <x:v>308.28</x:v>
      </x:c>
      <x:c r="K208" s="231" t="n">
        <x:v>859</x:v>
      </x:c>
      <x:c r="L208" s="230" t="str">
        <x:v>outdoor boots ; waterproof jackets ; sneakers ; slippers ; rubber boots</x:v>
      </x:c>
      <x:c r="M208" s="230" t="str">
        <x:v>We lopen elke dag om bestemmingen te bereiken, avontuur te vinden, inspiratie op te doen of te genieten van het comfort van thuis. We lopen over gras, aarde, steen en zand om verborgen plekken en bekende uitzichten te verkennen. Alleen of samen, we willen comfortabel, efficiënt en in stijl lopen.</x:v>
      </x:c>
      <x:c r="N208" s="230" t="str">
        <x:v>https://app.brandsearch.co/brand-analysis/travelinoutdoor.nl</x:v>
      </x:c>
    </x:row>
    <x:row r="209" ht="21" customHeight="1">
      <x:c r="A209" s="230" t="str">
        <x:v>NL</x:v>
      </x:c>
      <x:c r="B209" s="230" t="str">
        <x:v>usedindustrialparts.com</x:v>
      </x:c>
      <x:c r="C209" s="230" t="str">
        <x:v>Other</x:v>
      </x:c>
      <x:c r="D209" s="231" t="n">
        <x:v>21764</x:v>
      </x:c>
      <x:c r="E209" s="231" t="n">
        <x:v>40</x:v>
      </x:c>
      <x:c r="F209" s="231" t="n">
        <x:v>0</x:v>
      </x:c>
      <x:c r="G209" s="232" t="n">
        <x:v>442.96</x:v>
      </x:c>
      <x:c r="H209" s="232" t="n">
        <x:f>G209/'Méthode'!$B$5</x:f>
        <x:v>387.3721031919545</x:v>
      </x:c>
      <x:c r="I209" s="232" t="n">
        <x:v>6.59</x:v>
      </x:c>
      <x:c r="J209" s="232" t="n">
        <x:v>11244.01</x:v>
      </x:c>
      <x:c r="K209" s="231" t="n">
        <x:v>2000</x:v>
      </x:c>
      <x:c r="L209" s="230" t="str">
        <x:v>industrial control parts ; electrical components ; pneumatic parts ; obsolete industrial parts ; factory automation equipment ; motor drives ; safety relays ; photoelectric sensors</x:v>
      </x:c>
      <x:c r="M209" s="230" t="str">
        <x:v>We are a worldwide provider of unique new, used, and obsolete MRO products. With years of experience in electrical, factory automation, and industrial controls, we strive to give our clients the solutions they’re searching for.</x:v>
      </x:c>
      <x:c r="N209" s="230" t="str">
        <x:v>https://app.brandsearch.co/brand-analysis/usedindustrialparts.com</x:v>
      </x:c>
    </x:row>
    <x:row r="210" ht="21" customHeight="1">
      <x:c r="A210" s="230" t="str">
        <x:v>NL</x:v>
      </x:c>
      <x:c r="B210" s="230" t="str">
        <x:v>www.thunderkraft.com</x:v>
      </x:c>
      <x:c r="C210" s="230" t="str">
        <x:v>Fashion</x:v>
      </x:c>
      <x:c r="D210" s="231" t="n">
        <x:v>18133</x:v>
      </x:c>
      <x:c r="E210" s="231" t="n">
        <x:v>40</x:v>
      </x:c>
      <x:c r="F210" s="231" t="n">
        <x:v>0</x:v>
      </x:c>
      <x:c r="G210" s="232" t="n">
        <x:v>169.06</x:v>
      </x:c>
      <x:c r="H210" s="232" t="n">
        <x:f>G210/'Méthode'!$B$5</x:f>
        <x:v>147.84433756012243</x:v>
      </x:c>
      <x:c r="I210" s="232" t="n">
        <x:v>16.98</x:v>
      </x:c>
      <x:c r="J210" s="232" t="n">
        <x:v>801.28</x:v>
      </x:c>
      <x:c r="K210" s="231" t="n">
        <x:v>1001</x:v>
      </x:c>
      <x:c r="L210" s="230" t="str">
        <x:v>backpacks ; watches ; sunglasses</x:v>
      </x:c>
      <x:c r="M210" s="230" t="str">
        <x:v>Discover the latest and exclusive fashion items at Thunderkraft. Your lifestyle boutique with sustainable, modern and minimalistic products.</x:v>
      </x:c>
      <x:c r="N210" s="230" t="str">
        <x:v>https://app.brandsearch.co/brand-analysis/thunderkraft.com</x:v>
      </x:c>
    </x:row>
    <x:row r="211" ht="21" customHeight="1">
      <x:c r="A211" s="230" t="str">
        <x:v>NL</x:v>
      </x:c>
      <x:c r="B211" s="230" t="str">
        <x:v>tameson.de</x:v>
      </x:c>
      <x:c r="C211" s="230" t="str">
        <x:v>Other</x:v>
      </x:c>
      <x:c r="D211" s="231" t="n">
        <x:v>17644</x:v>
      </x:c>
      <x:c r="E211" s="231" t="n">
        <x:v>40</x:v>
      </x:c>
      <x:c r="F211" s="231" t="n">
        <x:v>0</x:v>
      </x:c>
      <x:c r="G211" s="232" t="n">
        <x:v>366.24</x:v>
      </x:c>
      <x:c r="H211" s="232" t="n">
        <x:f>G211/'Méthode'!$B$5</x:f>
        <x:v>320.27984258854394</x:v>
      </x:c>
      <x:c r="I211" s="232" t="n">
        <x:v>0.01</x:v>
      </x:c>
      <x:c r="J211" s="232" t="n">
        <x:v>39038.94</x:v>
      </x:c>
      <x:c r="K211" s="231" t="n">
        <x:v>2000</x:v>
      </x:c>
      <x:c r="L211" s="230" t="str">
        <x:v>valves ; electrical components ; transformers ; led lighting ; cables and connectors ; adapters ; industrial switches ; pneumatic components</x:v>
      </x:c>
      <x:c r="M211" s="230" t="str">
        <x:v>Über 100.000 Ventile, Armaturen, Pneumatik &amp; mehr auf Tameson.de. Versand am selben Tag. Unsere Ingenieure stehen Ihnen zur Seite. Kundenbewertung 4,9/5.</x:v>
      </x:c>
      <x:c r="N211" s="230" t="str">
        <x:v>https://app.brandsearch.co/brand-analysis/tameson.de</x:v>
      </x:c>
    </x:row>
    <x:row r="212" ht="21" customHeight="1">
      <x:c r="A212" s="230" t="str">
        <x:v>NL</x:v>
      </x:c>
      <x:c r="B212" s="230" t="str">
        <x:v>lekatrading.com</x:v>
      </x:c>
      <x:c r="C212" s="230" t="str">
        <x:v>Other</x:v>
      </x:c>
      <x:c r="D212" s="231" t="n">
        <x:v>10830</x:v>
      </x:c>
      <x:c r="E212" s="231" t="n">
        <x:v>40</x:v>
      </x:c>
      <x:c r="F212" s="231" t="n">
        <x:v>0</x:v>
      </x:c>
      <x:c r="G212" s="232" t="n">
        <x:v>164.06</x:v>
      </x:c>
      <x:c r="H212" s="232" t="n">
        <x:f>G212/'Méthode'!$B$5</x:f>
        <x:v>143.47179711412332</x:v>
      </x:c>
      <x:c r="I212" s="232" t="n">
        <x:v>9.17</x:v>
      </x:c>
      <x:c r="J212" s="232" t="n">
        <x:v>881.06</x:v>
      </x:c>
      <x:c r="K212" s="231" t="n">
        <x:v>121</x:v>
      </x:c>
      <x:c r="L212" s="230" t="str">
        <x:v>storage containers ; pallet boxes ; transport carts ; stapler racks ; deksels (lids) ; wheels for carts ; stacking racks</x:v>
      </x:c>
      <x:c r="M212" s="230" t="str">
        <x:v>Leka Trading is sinds 2005 dé leverancier voor al uw opslag- en transportmiddelen. Wij kenmerken ons door een goed en degelijk product af te leveren</x:v>
      </x:c>
      <x:c r="N212" s="230" t="str">
        <x:v>https://app.brandsearch.co/brand-analysis/lekatrading.com</x:v>
      </x:c>
    </x:row>
    <x:row r="213" ht="21" customHeight="1">
      <x:c r="A213" s="230" t="str">
        <x:v>NL</x:v>
      </x:c>
      <x:c r="B213" s="230" t="str">
        <x:v>henrys-watches.com</x:v>
      </x:c>
      <x:c r="C213" s="230" t="str">
        <x:v>Fashion</x:v>
      </x:c>
      <x:c r="D213" s="231" t="n">
        <x:v>10141</x:v>
      </x:c>
      <x:c r="E213" s="231" t="n">
        <x:v>40</x:v>
      </x:c>
      <x:c r="F213" s="231" t="n">
        <x:v>0</x:v>
      </x:c>
      <x:c r="G213" s="232" t="n">
        <x:v>108.23</x:v>
      </x:c>
      <x:c r="H213" s="232" t="n">
        <x:f>G213/'Méthode'!$B$5</x:f>
        <x:v>94.64801049409708</x:v>
      </x:c>
      <x:c r="I213" s="232" t="n">
        <x:v>4.95</x:v>
      </x:c>
      <x:c r="J213" s="232" t="n">
        <x:v>1348</x:v>
      </x:c>
      <x:c r="K213" s="231" t="n">
        <x:v>247</x:v>
      </x:c>
      <x:c r="L213" s="230" t="str">
        <x:v>watches ; watch accessories ; watch gift sets ; watch storage ; watch repair kits</x:v>
      </x:c>
      <x:c r="M213" s="230" t="str">
        <x:v>Henry's Watches</x:v>
      </x:c>
      <x:c r="N213" s="230" t="str">
        <x:v>https://app.brandsearch.co/brand-analysis/henrys-watches.com</x:v>
      </x:c>
    </x:row>
    <x:row r="214" ht="21" customHeight="1">
      <x:c r="A214" s="230" t="str">
        <x:v>NL</x:v>
      </x:c>
      <x:c r="B214" s="230" t="str">
        <x:v>buurtbloemist.nl</x:v>
      </x:c>
      <x:c r="C214" s="230" t="str">
        <x:v>Home &amp; Garden</x:v>
      </x:c>
      <x:c r="D214" s="231" t="n">
        <x:v>5366</x:v>
      </x:c>
      <x:c r="E214" s="231" t="n">
        <x:v>40</x:v>
      </x:c>
      <x:c r="F214" s="231" t="n">
        <x:v>0</x:v>
      </x:c>
      <x:c r="G214" s="232" t="n">
        <x:v>98.42</x:v>
      </x:c>
      <x:c r="H214" s="232" t="n">
        <x:f>G214/'Méthode'!$B$5</x:f>
        <x:v>86.06908613904679</x:v>
      </x:c>
      <x:c r="I214" s="232" t="n">
        <x:v>1.93</x:v>
      </x:c>
      <x:c r="J214" s="232" t="n">
        <x:v>1072.24</x:v>
      </x:c>
      <x:c r="K214" s="231" t="n">
        <x:v>463</x:v>
      </x:c>
      <x:c r="L214" s="230" t="str">
        <x:v>flower bouquets ; plants ; flower arrangements ; gift sets ; vases ; flower accessories ; occasion-specific floral gifts</x:v>
      </x:c>
      <x:c r="M214" s="230" t="str">
        <x:v>Laat veilingverse bloemen bezorgen door de beste duurzame bloemist uit de buurt. ✓ Vóór 13:45u besteld, vandaag bezorgd ✓Bezorging door heel Nederland</x:v>
      </x:c>
      <x:c r="N214" s="230" t="str">
        <x:v>https://app.brandsearch.co/brand-analysis/buurtbloemist.nl</x:v>
      </x:c>
    </x:row>
    <x:row r="215" ht="21" customHeight="1">
      <x:c r="A215" s="230" t="str">
        <x:v>NL</x:v>
      </x:c>
      <x:c r="B215" s="230" t="str">
        <x:v>mysneakers.nl</x:v>
      </x:c>
      <x:c r="C215" s="230" t="str">
        <x:v>Fashion</x:v>
      </x:c>
      <x:c r="D215" s="231" t="n">
        <x:v>3861</x:v>
      </x:c>
      <x:c r="E215" s="231" t="n">
        <x:v>40</x:v>
      </x:c>
      <x:c r="F215" s="231" t="n">
        <x:v>0</x:v>
      </x:c>
      <x:c r="G215" s="232" t="n">
        <x:v>236.71</x:v>
      </x:c>
      <x:c r="H215" s="232" t="n">
        <x:f>G215/'Méthode'!$B$5</x:f>
        <x:v>207.00480979449063</x:v>
      </x:c>
      <x:c r="I215" s="232" t="n">
        <x:v>34.25</x:v>
      </x:c>
      <x:c r="J215" s="232" t="n">
        <x:v>936.41</x:v>
      </x:c>
      <x:c r="K215" s="231" t="n">
        <x:v>206</x:v>
      </x:c>
      <x:c r="L215" s="230" t="str">
        <x:v>sneakers ; athletic shoes ; streetwear shoes ; casual footwear ; limited edition sneakers</x:v>
      </x:c>
      <x:c r="M215" s="230" t="str">
        <x:v>MySneakers is jouw bestemming voor exclusieve sneakers van topmerken zoals Nike, New Balance, Asics, Adidas en meer – altijd 100% authentiek. Geniet van persoonlijke service, eerlijke prijzen en snelle levering. Scoor jouw next pair vandaag nog!</x:v>
      </x:c>
      <x:c r="N215" s="230" t="str">
        <x:v>https://app.brandsearch.co/brand-analysis/mysneakers.nl</x:v>
      </x:c>
    </x:row>
    <x:row r="216" ht="21" customHeight="1">
      <x:c r="A216" s="230" t="str">
        <x:v>NL</x:v>
      </x:c>
      <x:c r="B216" s="230" t="str">
        <x:v>zilksleep.com</x:v>
      </x:c>
      <x:c r="C216" s="230" t="str">
        <x:v>Beauty &amp; Skincare</x:v>
      </x:c>
      <x:c r="D216" s="231" t="n">
        <x:v>3664</x:v>
      </x:c>
      <x:c r="E216" s="231" t="n">
        <x:v>40</x:v>
      </x:c>
      <x:c r="F216" s="231" t="n">
        <x:v>0</x:v>
      </x:c>
      <x:c r="G216" s="232" t="n">
        <x:v>125.71</x:v>
      </x:c>
      <x:c r="H216" s="232" t="n">
        <x:f>G216/'Méthode'!$B$5</x:f>
        <x:v>109.93441189331001</x:v>
      </x:c>
      <x:c r="I216" s="232" t="n">
        <x:v>5.71</x:v>
      </x:c>
      <x:c r="J216" s="232" t="n">
        <x:v>753.71</x:v>
      </x:c>
      <x:c r="K216" s="231" t="n">
        <x:v>13</x:v>
      </x:c>
      <x:c r="L216" s="230" t="str">
        <x:v>silk pillowcases ; sleep masks ; silk scrunchies ; sleep kits ; laundry bags</x:v>
      </x:c>
      <x:c r="M216" s="230" t="str">
        <x:v>The foundation of restorative sleep with 100% mulberry silk. Prevent sleep creases and hair breakage with silver-infused 25-momme quality.</x:v>
      </x:c>
      <x:c r="N216" s="230" t="str">
        <x:v>https://app.brandsearch.co/brand-analysis/zilksleep.com</x:v>
      </x:c>
    </x:row>
    <x:row r="217" ht="21" customHeight="1">
      <x:c r="A217" s="230" t="str">
        <x:v>NL</x:v>
      </x:c>
      <x:c r="B217" s="230" t="str">
        <x:v>www.jadesafety.com</x:v>
      </x:c>
      <x:c r="C217" s="230" t="str">
        <x:v>Home &amp; Garden</x:v>
      </x:c>
      <x:c r="D217" s="231" t="n">
        <x:v>3477</x:v>
      </x:c>
      <x:c r="E217" s="231" t="n">
        <x:v>40</x:v>
      </x:c>
      <x:c r="F217" s="231" t="n">
        <x:v>0</x:v>
      </x:c>
      <x:c r="G217" s="232" t="n">
        <x:v>121.14</x:v>
      </x:c>
      <x:c r="H217" s="232" t="n">
        <x:f>G217/'Méthode'!$B$5</x:f>
        <x:v>105.93790992566682</x:v>
      </x:c>
      <x:c r="I217" s="232" t="n">
        <x:v>6.79</x:v>
      </x:c>
      <x:c r="J217" s="232" t="n">
        <x:v>687.41</x:v>
      </x:c>
      <x:c r="K217" s="231" t="n">
        <x:v>138</x:v>
      </x:c>
      <x:c r="L217" s="230" t="str">
        <x:v>door closers ; door dampers ; door accessories ; door hardware</x:v>
      </x:c>
      <x:c r="M217" s="230" t="str">
        <x:v>JADE Safety is a specialist in door technology and safety solutions. Discover our webshops and easily find the right product for your application.</x:v>
      </x:c>
      <x:c r="N217" s="230" t="str">
        <x:v>https://app.brandsearch.co/brand-analysis/jadesafety.com</x:v>
      </x:c>
    </x:row>
  </x:sheetData>
  <x:pageMargins left="0.7" right="0.7" top="0.75" bottom="0.75" header="0.3" footer="0.3"/>
  <x:tableParts count="1">
    <x:tablePart xmlns:r="http://schemas.openxmlformats.org/officeDocument/2006/relationships" r:id="Reb28bab8f0a8425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34" hidden="0" customWidth="1"/>
    <x:col min="4" max="4" width="22" hidden="0" customWidth="1"/>
    <x:col min="5" max="5" width="16" hidden="0" customWidth="1"/>
    <x:col min="6" max="6" width="18" hidden="0" customWidth="1"/>
    <x:col min="7" max="7" width="34" hidden="0" customWidth="1"/>
    <x:col min="8" max="8" width="22" hidden="0" customWidth="1"/>
  </x:cols>
  <x:sheetData>
    <x:row r="1">
      <x:c r="A1" s="233" t="str">
        <x:v>MESURES DE DEMANDE — RADAR 30</x:v>
      </x:c>
      <x:c r="B1" s="233"/>
      <x:c r="C1" s="233"/>
      <x:c r="D1" s="233"/>
      <x:c r="E1" s="233"/>
      <x:c r="F1" s="233"/>
      <x:c r="G1" s="233"/>
      <x:c r="H1" s="233"/>
    </x:row>
    <x:row r="2">
      <x:c r="A2" s="233"/>
      <x:c r="B2" s="233"/>
      <x:c r="C2" s="233"/>
      <x:c r="D2" s="233"/>
      <x:c r="E2" s="233"/>
      <x:c r="F2" s="233"/>
      <x:c r="G2" s="233"/>
      <x:c r="H2" s="233"/>
    </x:row>
    <x:row r="3">
      <x:c r="A3" s="223"/>
      <x:c r="B3" s="223"/>
      <x:c r="C3" s="223"/>
      <x:c r="D3" s="223"/>
      <x:c r="E3" s="223"/>
      <x:c r="F3" s="223"/>
      <x:c r="G3" s="223"/>
      <x:c r="H3" s="223"/>
    </x:row>
    <x:row r="4">
      <x:c r="A4" s="234" t="str">
        <x:v>Produit / niche</x:v>
      </x:c>
      <x:c r="B4" s="234" t="str">
        <x:v>Marché</x:v>
      </x:c>
      <x:c r="C4" s="234" t="str">
        <x:v>Requête SEMrush</x:v>
      </x:c>
      <x:c r="D4" s="234" t="str">
        <x:v>Mode</x:v>
      </x:c>
      <x:c r="E4" s="234" t="str">
        <x:v>Volume mensuel</x:v>
      </x:c>
      <x:c r="F4" s="234" t="str">
        <x:v>Google Trends 52/52</x:v>
      </x:c>
      <x:c r="G4" s="234" t="str">
        <x:v>Lecture</x:v>
      </x:c>
      <x:c r="H4" s="234" t="str">
        <x:v>Source</x:v>
      </x:c>
    </x:row>
    <x:row r="5" ht="30" customHeight="1">
      <x:c r="A5" s="235" t="str">
        <x:v>Housse de voiture sur mesure intérieure/extérieure</x:v>
      </x:c>
      <x:c r="B5" s="235" t="str">
        <x:v>FR</x:v>
      </x:c>
      <x:c r="C5" s="235" t="str">
        <x:v>housse voiture</x:v>
      </x:c>
      <x:c r="D5" s="235" t="str">
        <x:v>Expression / cluster local</x:v>
      </x:c>
      <x:c r="E5" s="236" t="n">
        <x:v>105710</x:v>
      </x:c>
      <x:c r="F5" s="237" t="n">
        <x:v>0.072</x:v>
      </x:c>
      <x:c r="G5" s="235" t="str">
        <x:v>RETENU_MARCHE_A_SOURCER</x:v>
      </x:c>
      <x:c r="H5" s="235" t="str">
        <x:v>SEMrush connecté</x:v>
      </x:c>
    </x:row>
    <x:row r="6" ht="30" customHeight="1">
      <x:c r="A6" s="235" t="str">
        <x:v>Housse de voiture sur mesure intérieure/extérieure</x:v>
      </x:c>
      <x:c r="B6" s="235" t="str">
        <x:v>UK</x:v>
      </x:c>
      <x:c r="C6" s="235" t="str">
        <x:v>car cover</x:v>
      </x:c>
      <x:c r="D6" s="235" t="str">
        <x:v>Expression / cluster local</x:v>
      </x:c>
      <x:c r="E6" s="236" t="n">
        <x:v>64460</x:v>
      </x:c>
      <x:c r="F6" s="237"/>
      <x:c r="G6" s="235" t="str">
        <x:v>Marché secondaire</x:v>
      </x:c>
      <x:c r="H6" s="235" t="str">
        <x:v>SEMrush connecté</x:v>
      </x:c>
    </x:row>
    <x:row r="7" ht="30" customHeight="1">
      <x:c r="A7" s="235" t="str">
        <x:v>Fauteuil suspendu avec pied</x:v>
      </x:c>
      <x:c r="B7" s="235" t="str">
        <x:v>FR</x:v>
      </x:c>
      <x:c r="C7" s="235" t="str">
        <x:v>fauteuil suspendu</x:v>
      </x:c>
      <x:c r="D7" s="235" t="str">
        <x:v>Expression / cluster local</x:v>
      </x:c>
      <x:c r="E7" s="236" t="n">
        <x:v>72520</x:v>
      </x:c>
      <x:c r="F7" s="237" t="n">
        <x:v>-0.033</x:v>
      </x:c>
      <x:c r="G7" s="235" t="str">
        <x:v>RETENU_MARCHE_A_SOURCER</x:v>
      </x:c>
      <x:c r="H7" s="235" t="str">
        <x:v>SEMrush connecté</x:v>
      </x:c>
    </x:row>
    <x:row r="8" ht="30" customHeight="1">
      <x:c r="A8" s="235" t="str">
        <x:v>Fauteuil suspendu avec pied</x:v>
      </x:c>
      <x:c r="B8" s="235" t="str">
        <x:v>DE</x:v>
      </x:c>
      <x:c r="C8" s="235" t="str">
        <x:v>hängesessel</x:v>
      </x:c>
      <x:c r="D8" s="235" t="str">
        <x:v>Expression / cluster local</x:v>
      </x:c>
      <x:c r="E8" s="236" t="n">
        <x:v>236300</x:v>
      </x:c>
      <x:c r="F8" s="237"/>
      <x:c r="G8" s="235" t="str">
        <x:v>Marché secondaire</x:v>
      </x:c>
      <x:c r="H8" s="235" t="str">
        <x:v>SEMrush connecté</x:v>
      </x:c>
    </x:row>
    <x:row r="9" ht="30" customHeight="1">
      <x:c r="A9" s="235" t="str">
        <x:v>Évier de cuisine inox/granit avec robinet</x:v>
      </x:c>
      <x:c r="B9" s="235" t="str">
        <x:v>FR</x:v>
      </x:c>
      <x:c r="C9" s="235" t="str">
        <x:v>évier cuisine</x:v>
      </x:c>
      <x:c r="D9" s="235" t="str">
        <x:v>Expression / cluster local</x:v>
      </x:c>
      <x:c r="E9" s="236" t="n">
        <x:v>73800</x:v>
      </x:c>
      <x:c r="F9" s="237" t="n">
        <x:v>0.187</x:v>
      </x:c>
      <x:c r="G9" s="235" t="str">
        <x:v>RETENU_MARCHE_A_SOURCER</x:v>
      </x:c>
      <x:c r="H9" s="235" t="str">
        <x:v>SEMrush connecté</x:v>
      </x:c>
    </x:row>
    <x:row r="10" ht="30" customHeight="1">
      <x:c r="A10" s="235" t="str">
        <x:v>Évier de cuisine inox/granit avec robinet</x:v>
      </x:c>
      <x:c r="B10" s="235" t="str">
        <x:v>IT</x:v>
      </x:c>
      <x:c r="C10" s="235" t="str">
        <x:v>lavello cucina</x:v>
      </x:c>
      <x:c r="D10" s="235" t="str">
        <x:v>Expression / cluster local</x:v>
      </x:c>
      <x:c r="E10" s="236" t="n">
        <x:v>255630</x:v>
      </x:c>
      <x:c r="F10" s="237"/>
      <x:c r="G10" s="235" t="str">
        <x:v>Marché secondaire</x:v>
      </x:c>
      <x:c r="H10" s="235" t="str">
        <x:v>SEMrush connecté</x:v>
      </x:c>
    </x:row>
    <x:row r="11" ht="30" customHeight="1">
      <x:c r="A11" s="235" t="str">
        <x:v>Housses de sièges auto sur mesure</x:v>
      </x:c>
      <x:c r="B11" s="235" t="str">
        <x:v>UK</x:v>
      </x:c>
      <x:c r="C11" s="235" t="str">
        <x:v>car seat covers</x:v>
      </x:c>
      <x:c r="D11" s="235" t="str">
        <x:v>Expression / cluster local</x:v>
      </x:c>
      <x:c r="E11" s="236" t="n">
        <x:v>118480</x:v>
      </x:c>
      <x:c r="F11" s="237" t="n">
        <x:v>0.16</x:v>
      </x:c>
      <x:c r="G11" s="235" t="str">
        <x:v>RETENU_MARCHE_A_SOURCER — UK</x:v>
      </x:c>
      <x:c r="H11" s="235" t="str">
        <x:v>SEMrush connecté</x:v>
      </x:c>
    </x:row>
    <x:row r="12" ht="30" customHeight="1">
      <x:c r="A12" s="235" t="str">
        <x:v>Housses de sièges auto sur mesure</x:v>
      </x:c>
      <x:c r="B12" s="235" t="str">
        <x:v>FR</x:v>
      </x:c>
      <x:c r="C12" s="235" t="str">
        <x:v>housse siège voiture</x:v>
      </x:c>
      <x:c r="D12" s="235" t="str">
        <x:v>Expression / cluster local</x:v>
      </x:c>
      <x:c r="E12" s="236" t="n">
        <x:v>6550</x:v>
      </x:c>
      <x:c r="F12" s="237"/>
      <x:c r="G12" s="235" t="str">
        <x:v>Marché secondaire</x:v>
      </x:c>
      <x:c r="H12" s="235" t="str">
        <x:v>SEMrush connecté</x:v>
      </x:c>
    </x:row>
    <x:row r="13" ht="30" customHeight="1">
      <x:c r="A13" s="235" t="str">
        <x:v>Valise cabine premium 20 pouces / set compact</x:v>
      </x:c>
      <x:c r="B13" s="235" t="str">
        <x:v>ES</x:v>
      </x:c>
      <x:c r="C13" s="235" t="str">
        <x:v>maleta de cabina</x:v>
      </x:c>
      <x:c r="D13" s="235" t="str">
        <x:v>Expression / cluster local</x:v>
      </x:c>
      <x:c r="E13" s="236" t="n">
        <x:v>79620</x:v>
      </x:c>
      <x:c r="F13" s="237"/>
      <x:c r="G13" s="235" t="str">
        <x:v>RETENU_MARCHE_A_SOURCER — ES</x:v>
      </x:c>
      <x:c r="H13" s="235" t="str">
        <x:v>SEMrush connecté</x:v>
      </x:c>
    </x:row>
    <x:row r="14" ht="30" customHeight="1">
      <x:c r="A14" s="235" t="str">
        <x:v>Haltères réglables 20–40 kg</x:v>
      </x:c>
      <x:c r="B14" s="235" t="str">
        <x:v>FR</x:v>
      </x:c>
      <x:c r="C14" s="235" t="str">
        <x:v>haltères réglables</x:v>
      </x:c>
      <x:c r="D14" s="235" t="str">
        <x:v>Expression / cluster local</x:v>
      </x:c>
      <x:c r="E14" s="236" t="n">
        <x:v>11090</x:v>
      </x:c>
      <x:c r="F14" s="237"/>
      <x:c r="G14" s="235" t="str">
        <x:v>RETENU_MARCHE_A_SOURCER</x:v>
      </x:c>
      <x:c r="H14" s="235" t="str">
        <x:v>SEMrush connecté</x:v>
      </x:c>
    </x:row>
    <x:row r="15" ht="30" customHeight="1">
      <x:c r="A15" s="235" t="str">
        <x:v>Haltères réglables 20–40 kg</x:v>
      </x:c>
      <x:c r="B15" s="235" t="str">
        <x:v>ES</x:v>
      </x:c>
      <x:c r="C15" s="235" t="str">
        <x:v>mancuernas ajustables</x:v>
      </x:c>
      <x:c r="D15" s="235" t="str">
        <x:v>Expression / cluster local</x:v>
      </x:c>
      <x:c r="E15" s="236" t="n">
        <x:v>13930</x:v>
      </x:c>
      <x:c r="F15" s="237"/>
      <x:c r="G15" s="235" t="str">
        <x:v>Marché secondaire</x:v>
      </x:c>
      <x:c r="H15" s="235" t="str">
        <x:v>SEMrush connecté</x:v>
      </x:c>
    </x:row>
    <x:row r="16" ht="30" customHeight="1">
      <x:c r="A16" s="235" t="str">
        <x:v>Parure de lit premium / hôtelière</x:v>
      </x:c>
      <x:c r="B16" s="235" t="str">
        <x:v>UK</x:v>
      </x:c>
      <x:c r="C16" s="235" t="str">
        <x:v>luxury bedding</x:v>
      </x:c>
      <x:c r="D16" s="235" t="str">
        <x:v>Expression / cluster local</x:v>
      </x:c>
      <x:c r="E16" s="236" t="n">
        <x:v>19990</x:v>
      </x:c>
      <x:c r="F16" s="237" t="n">
        <x:v>0.418</x:v>
      </x:c>
      <x:c r="G16" s="235" t="str">
        <x:v>RETENU_MARCHE_A_SOURCER — UK</x:v>
      </x:c>
      <x:c r="H16" s="235" t="str">
        <x:v>SEMrush connecté</x:v>
      </x:c>
    </x:row>
    <x:row r="17" ht="30" customHeight="1">
      <x:c r="A17" s="235" t="str">
        <x:v>Meuble-cage pour chien / double niche intérieure</x:v>
      </x:c>
      <x:c r="B17" s="235" t="str">
        <x:v>UK</x:v>
      </x:c>
      <x:c r="C17" s="235" t="str">
        <x:v>dog crate furniture</x:v>
      </x:c>
      <x:c r="D17" s="235" t="str">
        <x:v>Expression / cluster local</x:v>
      </x:c>
      <x:c r="E17" s="236" t="n">
        <x:v>13280</x:v>
      </x:c>
      <x:c r="F17" s="237" t="n">
        <x:v>0.182</x:v>
      </x:c>
      <x:c r="G17" s="235" t="str">
        <x:v>RETENU_MARCHE_A_SOURCER — UK</x:v>
      </x:c>
      <x:c r="H17" s="235" t="str">
        <x:v>SEMrush connecté</x:v>
      </x:c>
    </x:row>
    <x:row r="18" ht="30" customHeight="1">
      <x:c r="A18" s="235" t="str">
        <x:v>Meuble-cage pour chien / double niche intérieure</x:v>
      </x:c>
      <x:c r="B18" s="235" t="str">
        <x:v>FR</x:v>
      </x:c>
      <x:c r="C18" s="235" t="str">
        <x:v>meuble cage chien</x:v>
      </x:c>
      <x:c r="D18" s="235" t="str">
        <x:v>Expression / cluster local</x:v>
      </x:c>
      <x:c r="E18" s="236" t="n">
        <x:v>2060</x:v>
      </x:c>
      <x:c r="F18" s="237"/>
      <x:c r="G18" s="235" t="str">
        <x:v>Marché secondaire</x:v>
      </x:c>
      <x:c r="H18" s="235" t="str">
        <x:v>SEMrush connecté</x:v>
      </x:c>
    </x:row>
    <x:row r="19" ht="30" customHeight="1">
      <x:c r="A19" s="235" t="str">
        <x:v>Panneau mural décoratif de douche</x:v>
      </x:c>
      <x:c r="B19" s="235" t="str">
        <x:v>DE</x:v>
      </x:c>
      <x:c r="C19" s="235" t="str">
        <x:v>duschrückwand</x:v>
      </x:c>
      <x:c r="D19" s="235" t="str">
        <x:v>Expression / cluster local</x:v>
      </x:c>
      <x:c r="E19" s="236" t="n">
        <x:v>46220</x:v>
      </x:c>
      <x:c r="F19" s="237" t="n">
        <x:v>0.119</x:v>
      </x:c>
      <x:c r="G19" s="235" t="str">
        <x:v>Marché prouvé, concurrence/logistique à résoudre</x:v>
      </x:c>
      <x:c r="H19" s="235" t="str">
        <x:v>SEMrush connecté</x:v>
      </x:c>
    </x:row>
    <x:row r="20" ht="30" customHeight="1">
      <x:c r="A20" s="235" t="str">
        <x:v>Panneau mural décoratif de douche</x:v>
      </x:c>
      <x:c r="B20" s="235" t="str">
        <x:v>FR</x:v>
      </x:c>
      <x:c r="C20" s="235" t="str">
        <x:v>panneau mural douche</x:v>
      </x:c>
      <x:c r="D20" s="235" t="str">
        <x:v>Expression / cluster local</x:v>
      </x:c>
      <x:c r="E20" s="236" t="n">
        <x:v>13510</x:v>
      </x:c>
      <x:c r="F20" s="237"/>
      <x:c r="G20" s="235" t="str">
        <x:v>Marché secondaire</x:v>
      </x:c>
      <x:c r="H20" s="235" t="str">
        <x:v>SEMrush connecté</x:v>
      </x:c>
    </x:row>
    <x:row r="21" ht="30" customHeight="1">
      <x:c r="A21" s="235" t="str">
        <x:v>Vasque de salle de bain design à poser</x:v>
      </x:c>
      <x:c r="B21" s="235" t="str">
        <x:v>FR</x:v>
      </x:c>
      <x:c r="C21" s="235" t="str">
        <x:v>vasque salle de bain</x:v>
      </x:c>
      <x:c r="D21" s="235" t="str">
        <x:v>Expression / cluster local</x:v>
      </x:c>
      <x:c r="E21" s="236" t="n">
        <x:v>368610</x:v>
      </x:c>
      <x:c r="F21" s="237"/>
      <x:c r="G21" s="235" t="str">
        <x:v>Demande forte, faisabilité fragile</x:v>
      </x:c>
      <x:c r="H21" s="235" t="str">
        <x:v>SEMrush connecté</x:v>
      </x:c>
    </x:row>
    <x:row r="22" ht="30" customHeight="1">
      <x:c r="A22" s="235" t="str">
        <x:v>Salon de jardin en résine tressée</x:v>
      </x:c>
      <x:c r="B22" s="235" t="str">
        <x:v>UK</x:v>
      </x:c>
      <x:c r="C22" s="235" t="str">
        <x:v>rattan garden furniture</x:v>
      </x:c>
      <x:c r="D22" s="235" t="str">
        <x:v>Expression / cluster local</x:v>
      </x:c>
      <x:c r="E22" s="236" t="n">
        <x:v>122080</x:v>
      </x:c>
      <x:c r="F22" s="237" t="n">
        <x:v>-0.039</x:v>
      </x:c>
      <x:c r="G22" s="235" t="str">
        <x:v>Marché fort, économie non prouvée</x:v>
      </x:c>
      <x:c r="H22" s="235" t="str">
        <x:v>SEMrush connecté</x:v>
      </x:c>
    </x:row>
    <x:row r="23" ht="30" customHeight="1">
      <x:c r="A23" s="235" t="str">
        <x:v>Salon de jardin en résine tressée</x:v>
      </x:c>
      <x:c r="B23" s="235" t="str">
        <x:v>FR</x:v>
      </x:c>
      <x:c r="C23" s="235" t="str">
        <x:v>salon de jardin résine tressée</x:v>
      </x:c>
      <x:c r="D23" s="235" t="str">
        <x:v>Expression / cluster local</x:v>
      </x:c>
      <x:c r="E23" s="236" t="n">
        <x:v>15450</x:v>
      </x:c>
      <x:c r="F23" s="237"/>
      <x:c r="G23" s="235" t="str">
        <x:v>Marché secondaire</x:v>
      </x:c>
      <x:c r="H23" s="235" t="str">
        <x:v>SEMrush connecté</x:v>
      </x:c>
    </x:row>
    <x:row r="24" ht="30" customHeight="1">
      <x:c r="A24" s="235" t="str">
        <x:v>Coussin chauffant premium infrarouge / batterie</x:v>
      </x:c>
      <x:c r="B24" s="235" t="str">
        <x:v>FR</x:v>
      </x:c>
      <x:c r="C24" s="235" t="str">
        <x:v>coussin chauffant</x:v>
      </x:c>
      <x:c r="D24" s="235" t="str">
        <x:v>Expression / cluster local</x:v>
      </x:c>
      <x:c r="E24" s="236" t="n">
        <x:v>47060</x:v>
      </x:c>
      <x:c r="F24" s="237" t="n">
        <x:v>0.042</x:v>
      </x:c>
      <x:c r="G24" s="235" t="str">
        <x:v>Prix premium non démontré</x:v>
      </x:c>
      <x:c r="H24" s="235" t="str">
        <x:v>SEMrush connecté</x:v>
      </x:c>
    </x:row>
    <x:row r="25" ht="30" customHeight="1">
      <x:c r="A25" s="235" t="str">
        <x:v>Coussin chauffant premium infrarouge / batterie</x:v>
      </x:c>
      <x:c r="B25" s="235" t="str">
        <x:v>BE</x:v>
      </x:c>
      <x:c r="C25" s="235" t="str">
        <x:v>warmtekussen</x:v>
      </x:c>
      <x:c r="D25" s="235" t="str">
        <x:v>Expression / cluster local</x:v>
      </x:c>
      <x:c r="E25" s="236" t="n">
        <x:v>12750</x:v>
      </x:c>
      <x:c r="F25" s="237"/>
      <x:c r="G25" s="235" t="str">
        <x:v>Marché secondaire</x:v>
      </x:c>
      <x:c r="H25" s="235" t="str">
        <x:v>SEMrush connecté</x:v>
      </x:c>
    </x:row>
    <x:row r="26" ht="30" customHeight="1">
      <x:c r="A26" s="235" t="str">
        <x:v>Receveur de douche SMC effet pierre</x:v>
      </x:c>
      <x:c r="B26" s="235" t="str">
        <x:v>FR</x:v>
      </x:c>
      <x:c r="C26" s="235" t="str">
        <x:v>receveur de douche</x:v>
      </x:c>
      <x:c r="D26" s="235" t="str">
        <x:v>Expression / cluster local</x:v>
      </x:c>
      <x:c r="E26" s="236" t="n">
        <x:v>195140</x:v>
      </x:c>
      <x:c r="F26" s="237"/>
      <x:c r="G26" s="235" t="str">
        <x:v>Demande forte, concurrence et casse sévères</x:v>
      </x:c>
      <x:c r="H26" s="235" t="str">
        <x:v>SEMrush connecté</x:v>
      </x:c>
    </x:row>
    <x:row r="27" ht="30" customHeight="1">
      <x:c r="A27" s="235" t="str">
        <x:v>Radiateur de salle de bain / sèche-serviettes design</x:v>
      </x:c>
      <x:c r="B27" s="235" t="str">
        <x:v>DE</x:v>
      </x:c>
      <x:c r="C27" s="235" t="str">
        <x:v>badheizkörper</x:v>
      </x:c>
      <x:c r="D27" s="235" t="str">
        <x:v>Expression / cluster local</x:v>
      </x:c>
      <x:c r="E27" s="236" t="n">
        <x:v>102650</x:v>
      </x:c>
      <x:c r="F27" s="237"/>
      <x:c r="G27" s="235" t="str">
        <x:v>Marché DE prouvé, risque technique</x:v>
      </x:c>
      <x:c r="H27" s="235" t="str">
        <x:v>SEMrush connecté</x:v>
      </x:c>
    </x:row>
    <x:row r="28" ht="30" customHeight="1">
      <x:c r="A28" s="235" t="str">
        <x:v>Radiateur de salle de bain / sèche-serviettes design</x:v>
      </x:c>
      <x:c r="B28" s="235" t="str">
        <x:v>FR</x:v>
      </x:c>
      <x:c r="C28" s="235" t="str">
        <x:v>radiateur sèche serviette</x:v>
      </x:c>
      <x:c r="D28" s="235" t="str">
        <x:v>Expression / cluster local</x:v>
      </x:c>
      <x:c r="E28" s="236" t="n">
        <x:v>6290</x:v>
      </x:c>
      <x:c r="F28" s="237"/>
      <x:c r="G28" s="235" t="str">
        <x:v>Marché secondaire</x:v>
      </x:c>
      <x:c r="H28" s="235" t="str">
        <x:v>SEMrush connecté</x:v>
      </x:c>
    </x:row>
    <x:row r="29" ht="30" customHeight="1">
      <x:c r="A29" s="235" t="str">
        <x:v>Brasero / foyer de jardin premium</x:v>
      </x:c>
      <x:c r="B29" s="235" t="str">
        <x:v>DE</x:v>
      </x:c>
      <x:c r="C29" s="235" t="str">
        <x:v>feuerstelle garten</x:v>
      </x:c>
      <x:c r="D29" s="235" t="str">
        <x:v>Expression / cluster local</x:v>
      </x:c>
      <x:c r="E29" s="236" t="n">
        <x:v>42320</x:v>
      </x:c>
      <x:c r="F29" s="237"/>
      <x:c r="G29" s="235" t="str">
        <x:v>Marché DE prouvé, saison/sécurité à résoudre</x:v>
      </x:c>
      <x:c r="H29" s="235" t="str">
        <x:v>SEMrush connecté</x:v>
      </x:c>
    </x:row>
    <x:row r="30" ht="30" customHeight="1">
      <x:c r="A30" s="235" t="str">
        <x:v>Brasero / foyer de jardin premium</x:v>
      </x:c>
      <x:c r="B30" s="235" t="str">
        <x:v>FR</x:v>
      </x:c>
      <x:c r="C30" s="235" t="str">
        <x:v>brasero jardin</x:v>
      </x:c>
      <x:c r="D30" s="235" t="str">
        <x:v>Expression / cluster local</x:v>
      </x:c>
      <x:c r="E30" s="236" t="n">
        <x:v>8180</x:v>
      </x:c>
      <x:c r="F30" s="237"/>
      <x:c r="G30" s="235" t="str">
        <x:v>Marché secondaire</x:v>
      </x:c>
      <x:c r="H30" s="235" t="str">
        <x:v>SEMrush connecté</x:v>
      </x:c>
    </x:row>
    <x:row r="31" ht="30" customHeight="1">
      <x:c r="A31" s="235" t="str">
        <x:v>Kit grillage de volière / enclos animal</x:v>
      </x:c>
      <x:c r="B31" s="235" t="str">
        <x:v>DE</x:v>
      </x:c>
      <x:c r="C31" s="235" t="str">
        <x:v>volierendraht</x:v>
      </x:c>
      <x:c r="D31" s="235" t="str">
        <x:v>Expression / cluster local</x:v>
      </x:c>
      <x:c r="E31" s="236" t="n">
        <x:v>13300</x:v>
      </x:c>
      <x:c r="F31" s="237"/>
      <x:c r="G31" s="235" t="str">
        <x:v>Volume juste ; commodité et poids</x:v>
      </x:c>
      <x:c r="H31" s="235" t="str">
        <x:v>SEMrush connecté</x:v>
      </x:c>
    </x:row>
    <x:row r="32" ht="30" customHeight="1">
      <x:c r="A32" s="235" t="str">
        <x:v>Paroi / cabine de douche</x:v>
      </x:c>
      <x:c r="B32" s="235" t="str">
        <x:v>ES</x:v>
      </x:c>
      <x:c r="C32" s="235" t="str">
        <x:v>mampara de ducha</x:v>
      </x:c>
      <x:c r="D32" s="235" t="str">
        <x:v>Expression / cluster local</x:v>
      </x:c>
      <x:c r="E32" s="236" t="n">
        <x:v>40610</x:v>
      </x:c>
      <x:c r="F32" s="237"/>
      <x:c r="G32" s="235" t="str">
        <x:v>Marché ES prouvé, casse/installation sévères</x:v>
      </x:c>
      <x:c r="H32" s="235" t="str">
        <x:v>SEMrush connecté</x:v>
      </x:c>
    </x:row>
    <x:row r="33" ht="30" customHeight="1">
      <x:c r="A33" s="235" t="str">
        <x:v>Barres de toit / galerie spécifique véhicule</x:v>
      </x:c>
      <x:c r="B33" s="235" t="str">
        <x:v>UK</x:v>
      </x:c>
      <x:c r="C33" s="235" t="str">
        <x:v>roof rack</x:v>
      </x:c>
      <x:c r="D33" s="235" t="str">
        <x:v>Expression / cluster local</x:v>
      </x:c>
      <x:c r="E33" s="236" t="n">
        <x:v>189650</x:v>
      </x:c>
      <x:c r="F33" s="237"/>
      <x:c r="G33" s="235" t="str">
        <x:v>Marché massif, responsabilité produit élevée</x:v>
      </x:c>
      <x:c r="H33" s="235" t="str">
        <x:v>SEMrush connecté</x:v>
      </x:c>
    </x:row>
    <x:row r="34" ht="30" customHeight="1">
      <x:c r="A34" s="235" t="str">
        <x:v>Dashcam 2/3 canaux avec kit câblage</x:v>
      </x:c>
      <x:c r="B34" s="235" t="str">
        <x:v>UK</x:v>
      </x:c>
      <x:c r="C34" s="235" t="str">
        <x:v>dash cam</x:v>
      </x:c>
      <x:c r="D34" s="235" t="str">
        <x:v>Expression / cluster local</x:v>
      </x:c>
      <x:c r="E34" s="236" t="n">
        <x:v>378800</x:v>
      </x:c>
      <x:c r="F34" s="237"/>
      <x:c r="G34" s="235" t="str">
        <x:v>Marché massif, concurrence et SAV élevés</x:v>
      </x:c>
      <x:c r="H34" s="235" t="str">
        <x:v>SEMrush connecté</x:v>
      </x:c>
    </x:row>
    <x:row r="35" ht="30" customHeight="1">
      <x:c r="A35" s="235" t="str">
        <x:v>Kit de suivi de consommation électrique</x:v>
      </x:c>
      <x:c r="B35" s="235" t="str">
        <x:v>NL</x:v>
      </x:c>
      <x:c r="C35" s="235" t="str">
        <x:v>energiemeter</x:v>
      </x:c>
      <x:c r="D35" s="235" t="str">
        <x:v>Expression / cluster local</x:v>
      </x:c>
      <x:c r="E35" s="236" t="n">
        <x:v>11290</x:v>
      </x:c>
      <x:c r="F35" s="237"/>
      <x:c r="G35" s="235" t="str">
        <x:v>Signal NL juste, acteur encore petit</x:v>
      </x:c>
      <x:c r="H35" s="235" t="str">
        <x:v>SEMrush connecté</x:v>
      </x:c>
    </x:row>
    <x:row r="36" ht="30" customHeight="1">
      <x:c r="A36" s="235" t="str">
        <x:v>Kit de suivi de consommation électrique</x:v>
      </x:c>
      <x:c r="B36" s="235" t="str">
        <x:v>BE</x:v>
      </x:c>
      <x:c r="C36" s="235" t="str">
        <x:v>energiemeter</x:v>
      </x:c>
      <x:c r="D36" s="235" t="str">
        <x:v>Expression / cluster local</x:v>
      </x:c>
      <x:c r="E36" s="236" t="n">
        <x:v>5660</x:v>
      </x:c>
      <x:c r="F36" s="237"/>
      <x:c r="G36" s="235" t="str">
        <x:v>Marché secondaire</x:v>
      </x:c>
      <x:c r="H36" s="235" t="str">
        <x:v>SEMrush connecté</x:v>
      </x:c>
    </x:row>
    <x:row r="37" ht="30" customHeight="1">
      <x:c r="A37" s="235" t="str">
        <x:v>Ferme-porte hydraulique premium</x:v>
      </x:c>
      <x:c r="B37" s="235" t="str">
        <x:v>FR</x:v>
      </x:c>
      <x:c r="C37" s="235" t="str">
        <x:v>ferme porte</x:v>
      </x:c>
      <x:c r="D37" s="235" t="str">
        <x:v>Expression / cluster local</x:v>
      </x:c>
      <x:c r="E37" s="236" t="n">
        <x:v>51400</x:v>
      </x:c>
      <x:c r="F37" s="237"/>
      <x:c r="G37" s="235" t="str">
        <x:v>Demande forte, panier moyen à prouver</x:v>
      </x:c>
      <x:c r="H37" s="235" t="str">
        <x:v>SEMrush connecté</x:v>
      </x:c>
    </x:row>
    <x:row r="38" ht="30" customHeight="1">
      <x:c r="A38" s="235" t="str">
        <x:v>Ferme-porte hydraulique premium</x:v>
      </x:c>
      <x:c r="B38" s="235" t="str">
        <x:v>NL</x:v>
      </x:c>
      <x:c r="C38" s="235" t="str">
        <x:v>deurdranger</x:v>
      </x:c>
      <x:c r="D38" s="235" t="str">
        <x:v>Expression / cluster local</x:v>
      </x:c>
      <x:c r="E38" s="236" t="n">
        <x:v>28650</x:v>
      </x:c>
      <x:c r="F38" s="237"/>
      <x:c r="G38" s="235" t="str">
        <x:v>Marché secondaire</x:v>
      </x:c>
      <x:c r="H38" s="235" t="str">
        <x:v>SEMrush connecté</x:v>
      </x:c>
    </x:row>
    <x:row r="39" ht="30" customHeight="1">
      <x:c r="A39" s="235" t="str">
        <x:v>Draisienne premium bois/métal</x:v>
      </x:c>
      <x:c r="B39" s="235" t="str">
        <x:v>UK</x:v>
      </x:c>
      <x:c r="C39" s="235" t="str">
        <x:v>balance bike</x:v>
      </x:c>
      <x:c r="D39" s="235" t="str">
        <x:v>Expression / cluster local</x:v>
      </x:c>
      <x:c r="E39" s="236" t="n">
        <x:v>105340</x:v>
      </x:c>
      <x:c r="F39" s="237"/>
      <x:c r="G39" s="235" t="str">
        <x:v>Marché prouvé, sécurité enfant</x:v>
      </x:c>
      <x:c r="H39" s="235" t="str">
        <x:v>SEMrush connecté</x:v>
      </x:c>
    </x:row>
    <x:row r="40" ht="30" customHeight="1">
      <x:c r="A40" s="235" t="str">
        <x:v>Draisienne premium bois/métal</x:v>
      </x:c>
      <x:c r="B40" s="235" t="str">
        <x:v>FR</x:v>
      </x:c>
      <x:c r="C40" s="235" t="str">
        <x:v>draisienne enfant</x:v>
      </x:c>
      <x:c r="D40" s="235" t="str">
        <x:v>Expression / cluster local</x:v>
      </x:c>
      <x:c r="E40" s="236" t="n">
        <x:v>14910</x:v>
      </x:c>
      <x:c r="F40" s="237"/>
      <x:c r="G40" s="235" t="str">
        <x:v>Marché secondaire</x:v>
      </x:c>
      <x:c r="H40" s="235" t="str">
        <x:v>SEMrush connecté</x:v>
      </x:c>
    </x:row>
    <x:row r="41" ht="30" customHeight="1">
      <x:c r="A41" s="235" t="str">
        <x:v>Tapis de sol auto premium / sur mesure</x:v>
      </x:c>
      <x:c r="B41" s="235" t="str">
        <x:v>FR</x:v>
      </x:c>
      <x:c r="C41" s="235" t="str">
        <x:v>tapis de sol voiture</x:v>
      </x:c>
      <x:c r="D41" s="235" t="str">
        <x:v>Expression / cluster local</x:v>
      </x:c>
      <x:c r="E41" s="236" t="n">
        <x:v>11350</x:v>
      </x:c>
      <x:c r="F41" s="237"/>
      <x:c r="G41" s="235" t="str">
        <x:v>Famille passe ; sous-produit sur mesure sous 10K</x:v>
      </x:c>
      <x:c r="H41" s="235" t="str">
        <x:v>SEMrush connecté</x:v>
      </x:c>
    </x:row>
    <x:row r="42" ht="30" customHeight="1">
      <x:c r="A42" s="235" t="str">
        <x:v>Tapis de sol auto premium / sur mesure</x:v>
      </x:c>
      <x:c r="B42" s="235" t="str">
        <x:v>FR sur mesure</x:v>
      </x:c>
      <x:c r="C42" s="235" t="str">
        <x:v>tapis voiture sur mesure</x:v>
      </x:c>
      <x:c r="D42" s="235" t="str">
        <x:v>Expression / cluster local</x:v>
      </x:c>
      <x:c r="E42" s="236" t="n">
        <x:v>6480</x:v>
      </x:c>
      <x:c r="F42" s="237"/>
      <x:c r="G42" s="235" t="str">
        <x:v>Marché secondaire</x:v>
      </x:c>
      <x:c r="H42" s="235" t="str">
        <x:v>SEMrush connecté</x:v>
      </x:c>
    </x:row>
    <x:row r="43" ht="30" customHeight="1">
      <x:c r="A43" s="235" t="str">
        <x:v>Plaque funéraire personnalisable</x:v>
      </x:c>
      <x:c r="B43" s="235" t="str">
        <x:v>FR</x:v>
      </x:c>
      <x:c r="C43" s="235" t="str">
        <x:v>plaque funéraire</x:v>
      </x:c>
      <x:c r="D43" s="235" t="str">
        <x:v>Expression / cluster local</x:v>
      </x:c>
      <x:c r="E43" s="236" t="n">
        <x:v>69200</x:v>
      </x:c>
      <x:c r="F43" s="237" t="n">
        <x:v>0.056</x:v>
      </x:c>
      <x:c r="G43" s="235" t="str">
        <x:v>Famille forte ; modèle de production à clarifier</x:v>
      </x:c>
      <x:c r="H43" s="235" t="str">
        <x:v>SEMrush connecté</x:v>
      </x:c>
    </x:row>
    <x:row r="44" ht="30" customHeight="1">
      <x:c r="A44" s="235" t="str">
        <x:v>Plaque funéraire personnalisable</x:v>
      </x:c>
      <x:c r="B44" s="235" t="str">
        <x:v>FR personnalisée</x:v>
      </x:c>
      <x:c r="C44" s="235" t="str">
        <x:v>plaque funéraire personnalisée</x:v>
      </x:c>
      <x:c r="D44" s="235" t="str">
        <x:v>Expression / cluster local</x:v>
      </x:c>
      <x:c r="E44" s="236" t="n">
        <x:v>7860</x:v>
      </x:c>
      <x:c r="F44" s="237"/>
      <x:c r="G44" s="235" t="str">
        <x:v>Marché secondaire</x:v>
      </x:c>
      <x:c r="H44" s="235" t="str">
        <x:v>SEMrush connecté</x:v>
      </x:c>
    </x:row>
    <x:row r="45" ht="30" customHeight="1">
      <x:c r="A45" s="235" t="str">
        <x:v>Grille chien / séparation coffre spécifique véhicule</x:v>
      </x:c>
      <x:c r="B45" s="235" t="str">
        <x:v>UK</x:v>
      </x:c>
      <x:c r="C45" s="235" t="str">
        <x:v>dog guard car</x:v>
      </x:c>
      <x:c r="D45" s="235" t="str">
        <x:v>Expression / cluster local</x:v>
      </x:c>
      <x:c r="E45" s="236" t="n">
        <x:v>5400</x:v>
      </x:c>
      <x:c r="F45" s="237"/>
      <x:c r="G45" s="235" t="str">
        <x:v>STOP volume propre</x:v>
      </x:c>
      <x:c r="H45" s="235" t="str">
        <x:v>SEMrush connecté</x:v>
      </x:c>
    </x:row>
    <x:row r="46" ht="30" customHeight="1">
      <x:c r="A46" s="235" t="str">
        <x:v>Écran de projection motorisé</x:v>
      </x:c>
      <x:c r="B46" s="235" t="str">
        <x:v>DE</x:v>
      </x:c>
      <x:c r="C46" s="235" t="str">
        <x:v>motorleinwand</x:v>
      </x:c>
      <x:c r="D46" s="235" t="str">
        <x:v>Expression / cluster local</x:v>
      </x:c>
      <x:c r="E46" s="236" t="n">
        <x:v>2820</x:v>
      </x:c>
      <x:c r="F46" s="237"/>
      <x:c r="G46" s="235" t="str">
        <x:v>STOP volume</x:v>
      </x:c>
      <x:c r="H46" s="235" t="str">
        <x:v>SEMrush connecté</x:v>
      </x:c>
    </x:row>
    <x:row r="47" ht="30" customHeight="1">
      <x:c r="A47" s="235" t="str">
        <x:v>Écran de projection motorisé</x:v>
      </x:c>
      <x:c r="B47" s="235" t="str">
        <x:v>FR</x:v>
      </x:c>
      <x:c r="C47" s="235" t="str">
        <x:v>écran projection motorisé</x:v>
      </x:c>
      <x:c r="D47" s="235" t="str">
        <x:v>Expression / cluster local</x:v>
      </x:c>
      <x:c r="E47" s="236" t="n">
        <x:v>1580</x:v>
      </x:c>
      <x:c r="F47" s="237"/>
      <x:c r="G47" s="235" t="str">
        <x:v>Marché secondaire</x:v>
      </x:c>
      <x:c r="H47" s="235" t="str">
        <x:v>SEMrush connecté</x:v>
      </x:c>
    </x:row>
    <x:row r="48" ht="30" customHeight="1">
      <x:c r="A48" s="235" t="str">
        <x:v>Kit graphique complet motocross</x:v>
      </x:c>
      <x:c r="B48" s="235" t="str">
        <x:v>DE</x:v>
      </x:c>
      <x:c r="C48" s="235" t="str">
        <x:v>motocross dekor</x:v>
      </x:c>
      <x:c r="D48" s="235" t="str">
        <x:v>Expression / cluster local</x:v>
      </x:c>
      <x:c r="E48" s="236" t="n">
        <x:v>960</x:v>
      </x:c>
      <x:c r="F48" s="237"/>
      <x:c r="G48" s="235" t="str">
        <x:v>STOP sous-produit propre</x:v>
      </x:c>
      <x:c r="H48" s="235" t="str">
        <x:v>SEMrush connecté</x:v>
      </x:c>
    </x:row>
    <x:row r="49" ht="30" customHeight="1">
      <x:c r="A49" s="235" t="str">
        <x:v>Kit graphique complet motocross</x:v>
      </x:c>
      <x:c r="B49" s="235" t="str">
        <x:v>DE autocollants moto</x:v>
      </x:c>
      <x:c r="C49" s="235" t="str">
        <x:v>motorrad aufkleber</x:v>
      </x:c>
      <x:c r="D49" s="235" t="str">
        <x:v>Expression / cluster local</x:v>
      </x:c>
      <x:c r="E49" s="236" t="n">
        <x:v>19100</x:v>
      </x:c>
      <x:c r="F49" s="237"/>
      <x:c r="G49" s="235" t="str">
        <x:v>Marché secondaire</x:v>
      </x:c>
      <x:c r="H49" s="235" t="str">
        <x:v>SEMrush connecté</x:v>
      </x:c>
    </x:row>
    <x:row r="50" ht="30" customHeight="1">
      <x:c r="A50" s="235" t="str">
        <x:v>Toilette portable de camping</x:v>
      </x:c>
      <x:c r="B50" s="235" t="str">
        <x:v>FR</x:v>
      </x:c>
      <x:c r="C50" s="235" t="str">
        <x:v>toilette portable</x:v>
      </x:c>
      <x:c r="D50" s="235" t="str">
        <x:v>Expression / cluster local</x:v>
      </x:c>
      <x:c r="E50" s="236" t="n">
        <x:v>8970</x:v>
      </x:c>
      <x:c r="F50" s="237" t="n">
        <x:v>-0.065</x:v>
      </x:c>
      <x:c r="G50" s="235" t="str">
        <x:v>STOP volume</x:v>
      </x:c>
      <x:c r="H50" s="235" t="str">
        <x:v>SEMrush connecté</x:v>
      </x:c>
    </x:row>
    <x:row r="51" ht="30" customHeight="1">
      <x:c r="A51" s="235" t="str">
        <x:v>Planche à découper en titane</x:v>
      </x:c>
      <x:c r="B51" s="235" t="str">
        <x:v>FR</x:v>
      </x:c>
      <x:c r="C51" s="235" t="str">
        <x:v>planche à découper titane</x:v>
      </x:c>
      <x:c r="D51" s="235" t="str">
        <x:v>Expression / cluster local</x:v>
      </x:c>
      <x:c r="E51" s="236" t="n">
        <x:v>2640</x:v>
      </x:c>
      <x:c r="F51" s="237" t="n">
        <x:v>1</x:v>
      </x:c>
      <x:c r="G51" s="235" t="str">
        <x:v>STOP volume</x:v>
      </x:c>
      <x:c r="H51" s="235" t="str">
        <x:v>SEMrush connecté</x:v>
      </x:c>
    </x:row>
    <x:row r="52" ht="30" customHeight="1">
      <x:c r="A52" s="235" t="str">
        <x:v>Kit HDMI sans fil</x:v>
      </x:c>
      <x:c r="B52" s="235" t="str">
        <x:v>NL</x:v>
      </x:c>
      <x:c r="C52" s="235" t="str">
        <x:v>draadloze hdmi</x:v>
      </x:c>
      <x:c r="D52" s="235" t="str">
        <x:v>Expression / cluster local</x:v>
      </x:c>
      <x:c r="E52" s="236" t="n">
        <x:v>1210</x:v>
      </x:c>
      <x:c r="F52" s="237"/>
      <x:c r="G52" s="235" t="str">
        <x:v>STOP volume</x:v>
      </x:c>
      <x:c r="H52" s="235" t="str">
        <x:v>SEMrush connecté</x:v>
      </x:c>
    </x:row>
  </x:sheetData>
  <x:mergeCells>
    <x:mergeCell ref="A1:H2"/>
  </x:mergeCells>
  <x:pageMargins left="0.7" right="0.7" top="0.75" bottom="0.75" header="0.3" footer="0.3"/>
  <x:tableParts count="1">
    <x:tablePart xmlns:r="http://schemas.openxmlformats.org/officeDocument/2006/relationships" r:id="R19b7d40e4a6d4ff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s>
  <x:sheetData>
    <x:row r="1">
      <x:c r="A1" s="3" t="str">
        <x:v>MÉTHODE, SEUILS ET SOURCES</x:v>
      </x:c>
      <x:c r="B1" s="3"/>
      <x:c r="C1" s="3"/>
      <x:c r="D1" s="3"/>
      <x:c r="E1" s="3"/>
      <x:c r="F1" s="3"/>
      <x:c r="G1" s="3"/>
      <x:c r="H1" s="3"/>
    </x:row>
    <x:row r="2">
      <x:c r="A2" s="3"/>
      <x:c r="B2" s="3"/>
      <x:c r="C2" s="3"/>
      <x:c r="D2" s="3"/>
      <x:c r="E2" s="3"/>
      <x:c r="F2" s="3"/>
      <x:c r="G2" s="3"/>
      <x:c r="H2" s="3"/>
    </x:row>
    <x:row r="3">
      <x:c r="A3" s="9"/>
      <x:c r="B3" s="9"/>
      <x:c r="C3" s="9"/>
      <x:c r="D3" s="9"/>
      <x:c r="E3" s="9"/>
      <x:c r="F3" s="9"/>
      <x:c r="G3" s="9"/>
      <x:c r="H3" s="9"/>
    </x:row>
    <x:row r="4">
      <x:c r="A4" s="10" t="str">
        <x:v>Paramètre</x:v>
      </x:c>
      <x:c r="B4" s="10" t="str">
        <x:v>Valeur</x:v>
      </x:c>
      <x:c r="C4" s="9"/>
      <x:c r="D4" s="9"/>
      <x:c r="E4" s="9"/>
      <x:c r="F4" s="9"/>
      <x:c r="G4" s="9"/>
      <x:c r="H4" s="9"/>
    </x:row>
    <x:row r="5">
      <x:c r="A5" s="9" t="str">
        <x:v>EUR/USD (17-07-2026)</x:v>
      </x:c>
      <x:c r="B5" s="11" t="n">
        <x:v>1.1435</x:v>
      </x:c>
      <x:c r="C5" s="9"/>
      <x:c r="D5" s="9"/>
      <x:c r="E5" s="9"/>
      <x:c r="F5" s="9"/>
      <x:c r="G5" s="9"/>
      <x:c r="H5" s="9"/>
    </x:row>
    <x:row r="6">
      <x:c r="A6" s="9" t="str">
        <x:v>Seuil volume par marché</x:v>
      </x:c>
      <x:c r="B6" s="12" t="n">
        <x:v>10000</x:v>
      </x:c>
      <x:c r="C6" s="9"/>
      <x:c r="D6" s="9"/>
      <x:c r="E6" s="9"/>
      <x:c r="F6" s="9"/>
      <x:c r="G6" s="9"/>
      <x:c r="H6" s="9"/>
    </x:row>
    <x:row r="7">
      <x:c r="A7" s="9" t="str">
        <x:v>Prix cible minimum (EUR)</x:v>
      </x:c>
      <x:c r="B7" s="12" t="n">
        <x:v>85</x:v>
      </x:c>
      <x:c r="C7" s="9"/>
      <x:c r="D7" s="9"/>
      <x:c r="E7" s="9"/>
      <x:c r="F7" s="9"/>
      <x:c r="G7" s="9"/>
      <x:c r="H7" s="9"/>
    </x:row>
    <x:row r="8">
      <x:c r="A8" s="9" t="str">
        <x:v>Prix cible maximum (EUR)</x:v>
      </x:c>
      <x:c r="B8" s="12" t="n">
        <x:v>400</x:v>
      </x:c>
      <x:c r="C8" s="9"/>
      <x:c r="D8" s="9"/>
      <x:c r="E8" s="9"/>
      <x:c r="F8" s="9"/>
      <x:c r="G8" s="9"/>
      <x:c r="H8" s="9"/>
    </x:row>
    <x:row r="9">
      <x:c r="A9" s="9" t="str">
        <x:v>Google Ads actives minimum</x:v>
      </x:c>
      <x:c r="B9" s="12" t="n">
        <x:v>1</x:v>
      </x:c>
      <x:c r="C9" s="9"/>
      <x:c r="D9" s="9"/>
      <x:c r="E9" s="9"/>
      <x:c r="F9" s="9"/>
      <x:c r="G9" s="9"/>
      <x:c r="H9" s="9"/>
    </x:row>
    <x:row r="10">
      <x:c r="A10" s="9" t="str">
        <x:v>Meta Ads actives maximum</x:v>
      </x:c>
      <x:c r="B10" s="12" t="n">
        <x:v>0</x:v>
      </x:c>
      <x:c r="C10" s="9"/>
      <x:c r="D10" s="9"/>
      <x:c r="E10" s="9"/>
      <x:c r="F10" s="9"/>
      <x:c r="G10" s="9"/>
      <x:c r="H10" s="9"/>
    </x:row>
    <x:row r="11">
      <x:c r="A11" s="9"/>
      <x:c r="B11" s="9"/>
      <x:c r="C11" s="9"/>
      <x:c r="D11" s="9"/>
      <x:c r="E11" s="9"/>
      <x:c r="F11" s="9"/>
      <x:c r="G11" s="9"/>
      <x:c r="H11" s="9"/>
    </x:row>
    <x:row r="12">
      <x:c r="A12" s="10" t="str">
        <x:v>Règle</x:v>
      </x:c>
      <x:c r="B12" s="10" t="str">
        <x:v>Définition</x:v>
      </x:c>
      <x:c r="C12" s="10"/>
      <x:c r="D12" s="10"/>
      <x:c r="E12" s="10"/>
      <x:c r="F12" s="10"/>
      <x:c r="G12" s="10"/>
      <x:c r="H12" s="10"/>
    </x:row>
    <x:row r="13" ht="34" customHeight="1">
      <x:c r="A13" s="13" t="str">
        <x:v>VALIDÉ</x:v>
      </x:c>
      <x:c r="B13" s="13" t="str">
        <x:v>Marché qualifié et retenu pour sourcing manuel. Ce n'est pas une validation fournisseur ni une autorisation de lancement.</x:v>
      </x:c>
      <x:c r="C13" s="13"/>
      <x:c r="D13" s="13"/>
      <x:c r="E13" s="13"/>
      <x:c r="F13" s="13"/>
      <x:c r="G13" s="13"/>
      <x:c r="H13" s="13"/>
    </x:row>
    <x:row r="14" ht="34" customHeight="1">
      <x:c r="A14" s="13" t="str">
        <x:v>À CREUSER</x:v>
      </x:c>
      <x:c r="B14" s="13" t="str">
        <x:v>Preuve de marché réelle, mais un risque important empêche le passage immédiat en sourcing prioritaire.</x:v>
      </x:c>
      <x:c r="C14" s="13"/>
      <x:c r="D14" s="13"/>
      <x:c r="E14" s="13"/>
      <x:c r="F14" s="13"/>
      <x:c r="G14" s="13"/>
      <x:c r="H14" s="13"/>
    </x:row>
    <x:row r="15" ht="34" customHeight="1">
      <x:c r="A15" s="13" t="str">
        <x:v>EXCLU</x:v>
      </x:c>
      <x:c r="B15" s="13" t="str">
        <x:v>Sous-produit sous 10K ou risque structurel. Ne pas sourcer sans nouvelle thèse documentée.</x:v>
      </x:c>
      <x:c r="C15" s="13"/>
      <x:c r="D15" s="13"/>
      <x:c r="E15" s="13"/>
      <x:c r="F15" s="13"/>
      <x:c r="G15" s="13"/>
      <x:c r="H15" s="13"/>
    </x:row>
    <x:row r="16" ht="34" customHeight="1">
      <x:c r="A16" s="13" t="str">
        <x:v>Volumes</x:v>
      </x:c>
      <x:c r="B16" s="13" t="str">
        <x:v>Jamais de somme entre pays pour franchir le seuil. Les volumes sont lus dans la base SEMrush locale.</x:v>
      </x:c>
      <x:c r="C16" s="13"/>
      <x:c r="D16" s="13"/>
      <x:c r="E16" s="13"/>
      <x:c r="F16" s="13"/>
      <x:c r="G16" s="13"/>
      <x:c r="H16" s="13"/>
    </x:row>
    <x:row r="17" ht="34" customHeight="1">
      <x:c r="A17" s="13" t="str">
        <x:v>AliExpress</x:v>
      </x:c>
      <x:c r="B17" s="13" t="str">
        <x:v>Blocage Chrome documenté. Aucun fournisseur, prix, stock ou délai inventé ; requêtes manuelles seulement.</x:v>
      </x:c>
      <x:c r="C17" s="13"/>
      <x:c r="D17" s="13"/>
      <x:c r="E17" s="13"/>
      <x:c r="F17" s="13"/>
      <x:c r="G17" s="13"/>
      <x:c r="H17" s="13"/>
    </x:row>
    <x:row r="18" ht="34" customHeight="1">
      <x:c r="A18" s="13" t="str">
        <x:v>Sources</x:v>
      </x:c>
      <x:c r="B18" s="13" t="str">
        <x:v>BrandSearch API, SEMrush connecté, Google Trends, SERP publiques et rapport local du run 20260720-200609.</x:v>
      </x:c>
      <x:c r="C18" s="13"/>
      <x:c r="D18" s="13"/>
      <x:c r="E18" s="13"/>
      <x:c r="F18" s="13"/>
      <x:c r="G18" s="13"/>
      <x:c r="H18" s="13"/>
    </x:row>
    <x:row r="19">
      <x:c r="A19" s="9"/>
      <x:c r="B19" s="9"/>
      <x:c r="C19" s="9"/>
      <x:c r="D19" s="9"/>
      <x:c r="E19" s="9"/>
      <x:c r="F19" s="9"/>
      <x:c r="G19" s="9"/>
      <x:c r="H19" s="9"/>
    </x:row>
    <x:row r="20">
      <x:c r="A20" s="10" t="str">
        <x:v>Source</x:v>
      </x:c>
      <x:c r="B20" s="10" t="str">
        <x:v>URL / chemin</x:v>
      </x:c>
      <x:c r="C20" s="9"/>
      <x:c r="D20" s="9"/>
      <x:c r="E20" s="9"/>
      <x:c r="F20" s="9"/>
      <x:c r="G20" s="9"/>
      <x:c r="H20" s="9"/>
    </x:row>
    <x:row r="21">
      <x:c r="A21" s="9" t="str">
        <x:v>Rapport complet</x:v>
      </x:c>
      <x:c r="B21" s="9" t="str">
        <x:v>/Users/Hakim/Documents/Boutiques drop/boutique-pipeline/codex-chasse-clusters/reports/validation-multimarche-brandsearch-20260720-200609-a1.md</x:v>
      </x:c>
      <x:c r="C21" s="9"/>
      <x:c r="D21" s="9"/>
      <x:c r="E21" s="9"/>
      <x:c r="F21" s="9"/>
      <x:c r="G21" s="9"/>
      <x:c r="H21" s="9"/>
    </x:row>
    <x:row r="22">
      <x:c r="A22" s="9" t="str">
        <x:v>Entreprises BrandSearch brutes</x:v>
      </x:c>
      <x:c r="B22" s="9" t="str">
        <x:v>/Users/Hakim/Documents/Boutiques drop/boutique-pipeline/codex-chasse-clusters/runs/20260720-200609/brandsearch-entreprises-filtrees.json</x:v>
      </x:c>
      <x:c r="C22" s="9"/>
      <x:c r="D22" s="9"/>
      <x:c r="E22" s="9"/>
      <x:c r="F22" s="9"/>
      <x:c r="G22" s="9"/>
      <x:c r="H22" s="9"/>
    </x:row>
    <x:row r="23">
      <x:c r="A23" s="9" t="str">
        <x:v>SEMrush</x:v>
      </x:c>
      <x:c r="B23" s="9" t="str">
        <x:v>https://fr.semrush.com/analytics/keywordmagic/</x:v>
      </x:c>
      <x:c r="C23" s="9"/>
      <x:c r="D23" s="9"/>
      <x:c r="E23" s="9"/>
      <x:c r="F23" s="9"/>
      <x:c r="G23" s="9"/>
      <x:c r="H23" s="9"/>
    </x:row>
    <x:row r="24">
      <x:c r="A24" s="9" t="str">
        <x:v>Google Trends</x:v>
      </x:c>
      <x:c r="B24" s="9" t="str">
        <x:v>https://trends.google.com/trends/explore</x:v>
      </x:c>
      <x:c r="C24" s="9"/>
      <x:c r="D24" s="9"/>
      <x:c r="E24" s="9"/>
      <x:c r="F24" s="9"/>
      <x:c r="G24" s="9"/>
      <x:c r="H24" s="9"/>
    </x:row>
    <x:row r="25">
      <x:c r="A25" s="9" t="str">
        <x:v>BrandSearch</x:v>
      </x:c>
      <x:c r="B25" s="9" t="str">
        <x:v>https://app.brandsearch.co/brand-library</x:v>
      </x:c>
      <x:c r="C25" s="9"/>
      <x:c r="D25" s="9"/>
      <x:c r="E25" s="9"/>
      <x:c r="F25" s="9"/>
      <x:c r="G25" s="9"/>
      <x:c r="H25" s="9"/>
    </x:row>
    <x:row r="26">
      <x:c r="A26" s="9" t="str">
        <x:v>AliExpress</x:v>
      </x:c>
      <x:c r="B26" s="9" t="str">
        <x:v>MANQUANT — blocage de navigation Chrome</x:v>
      </x:c>
      <x:c r="C26" s="9"/>
      <x:c r="D26" s="9"/>
      <x:c r="E26" s="9"/>
      <x:c r="F26" s="9"/>
      <x:c r="G26" s="9"/>
      <x:c r="H26" s="9"/>
    </x:row>
  </x:sheetData>
  <x:mergeCells>
    <x:mergeCell ref="A1:H2"/>
  </x:mergeCells>
  <x:pageMargins left="0.7" right="0.7" top="0.75" bottom="0.75" header="0.3" footer="0.3"/>
</x:worksheet>
</file>