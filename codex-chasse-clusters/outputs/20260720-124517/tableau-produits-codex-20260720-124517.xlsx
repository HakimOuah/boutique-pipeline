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9ebe58ef54e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dc55cdfbbcc46f7"/>
    <x:sheet xmlns:r="http://schemas.openxmlformats.org/officeDocument/2006/relationships" name="Produits" sheetId="2" r:id="R5a154777cb8c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36536B"/>
      <x:name val="Carlito"/>
    </x:font>
    <x:font>
      <x:b/>
      <x:sz val="11"/>
      <x:color rgb="FF17324D"/>
      <x:name val="Carlito"/>
    </x:font>
    <x:font>
      <x:b/>
      <x:sz val="11"/>
      <x:color rgb="FF1B5E20"/>
      <x:name val="Carlito"/>
    </x:font>
    <x:font>
      <x:b/>
      <x:sz val="11"/>
      <x:color rgb="FF9A5B00"/>
      <x:name val="Carlito"/>
    </x:font>
    <x:font>
      <x:b/>
      <x:sz val="11"/>
      <x:color rgb="FF9C1C1C"/>
      <x:name val="Carlito"/>
    </x:font>
    <x:font>
      <x:sz val="11"/>
      <x:color rgb="FF30475A"/>
      <x:name val="Carlito"/>
    </x:font>
    <x:font>
      <x:b/>
      <x:sz val="11"/>
      <x:color rgb="FF36536B"/>
      <x:name val="Carlito"/>
    </x:font>
    <x:font>
      <x:sz val="11"/>
      <x:color rgb="FF6B7C8A"/>
      <x:name val="Carlito"/>
    </x:font>
    <x:font>
      <x:b/>
      <x:sz val="11"/>
      <x:color rgb="FF8A4B08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2D5B70"/>
      </x:patternFill>
    </x:fill>
    <x:fill>
      <x:patternFill patternType="solid">
        <x:fgColor rgb="FFF7F9FB"/>
      </x:patternFill>
    </x:fill>
    <x:fill>
      <x:patternFill patternType="solid">
        <x:fgColor rgb="FFFFF4E5"/>
      </x:patternFill>
    </x:fill>
  </x:fills>
  <x:borders count="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0D8E0"/>
      </x:left>
      <x:right style="thin">
        <x:color rgb="FFD0D8E0"/>
      </x:right>
      <x:top style="thin">
        <x:color rgb="FFD0D8E0"/>
      </x:top>
      <x:bottom style="thin">
        <x:color rgb="FFD0D8E0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9E1E7"/>
      </x:left>
      <x:right style="thin">
        <x:color rgb="FFD9E1E7"/>
      </x:right>
      <x:top style="thin">
        <x:color rgb="FFD9E1E7"/>
      </x:top>
      <x:bottom style="thin">
        <x:color rgb="FFD9E1E7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2" xfId="0" applyNumberFormat="1" applyFont="1" applyFill="1" applyBorder="1" applyAlignment="1">
      <x:alignment horizontal="center"/>
    </x:xf>
    <x:xf numFmtId="0" fontId="6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2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horizontal="left" wrapText="1"/>
    </x:xf>
    <x:xf numFmtId="0" fontId="7" fillId="9" borderId="2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3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center" wrapText="1"/>
    </x:xf>
    <x:xf numFmtId="0" fontId="8" fillId="3" borderId="5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left"/>
    </x:xf>
    <x:xf numFmtId="0" fontId="10" fillId="10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horizontal="center" vertical="center" wrapText="1"/>
    </x:xf>
    <x:xf numFmtId="0" fontId="12" fillId="0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1B5E20"/>
      </x:font>
      <x:fill>
        <x:patternFill patternType="solid">
          <x:bgColor rgb="FFE2F0D9"/>
        </x:patternFill>
      </x:fill>
    </x:dxf>
    <x:dxf>
      <x:font>
        <x:color rgb="FF7A4A00"/>
      </x:font>
      <x:fill>
        <x:patternFill patternType="solid">
          <x:bgColor rgb="FFFFF2CC"/>
        </x:patternFill>
      </x:fill>
    </x:dxf>
    <x:dxf>
      <x:font>
        <x:color rgb="FF8B1E1E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b0c72335a40a5" /><Relationship Type="http://schemas.openxmlformats.org/officeDocument/2006/relationships/theme" Target="/xl/theme/theme1.xml" Id="R49842a383034475e" /><Relationship Type="http://schemas.openxmlformats.org/officeDocument/2006/relationships/sharedStrings" Target="/xl/sharedStrings.xml" Id="Rb99fe0c7aa1b4c78" /><Relationship Type="http://schemas.openxmlformats.org/officeDocument/2006/relationships/worksheet" Target="/xl/worksheets/sheet1.xml" Id="R8dc55cdfbbcc46f7" /><Relationship Type="http://schemas.openxmlformats.org/officeDocument/2006/relationships/worksheet" Target="/xl/worksheets/sheet2.xml" Id="R5a154777cb8c4486" /></Relationships>
</file>

<file path=xl/tables/table1.xml><?xml version="1.0" encoding="utf-8"?>
<x:table xmlns:x="http://schemas.openxmlformats.org/spreadsheetml/2006/main" id="1" name="ProduitsTable" displayName="ProduitsTable" ref="A5:R115" headerRowCount="1" totalsRowCount="0" totalsRowShown="0">
  <x:autoFilter ref="A5:R115"/>
  <x:tableColumns count="18">
    <x:tableColumn id="1" name="Statut"/>
    <x:tableColumn id="2" name="Priorité sourcing"/>
    <x:tableColumn id="3" name="ID"/>
    <x:tableColumn id="4" name="Produit / thématique"/>
    <x:tableColumn id="5" name="Famille"/>
    <x:tableColumn id="6" name="Verdict source"/>
    <x:tableColumn id="7" name="Porte / motif"/>
    <x:tableColumn id="8" name="Volume FR"/>
    <x:tableColumn id="9" name="Prix marché TTC"/>
    <x:tableColumn id="10" name="CPC"/>
    <x:tableColumn id="11" name="Coût livré maximal"/>
    <x:tableColumn id="12" name="Concurrence / motif factuel"/>
    <x:tableColumn id="13" name="Requête AliExpress FR"/>
    <x:tableColumn id="14" name="Requête AliExpress EN"/>
    <x:tableColumn id="15" name="Lien fournisseur AliExpress"/>
    <x:tableColumn id="16" name="Rapport / dossier"/>
    <x:tableColumn id="17" name="Réserves / conditions"/>
    <x:tableColumn id="18" name="Source de vérité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fb270a68141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4" t="str">
        <x:v>TABLEAU DE RECHERCHE PRODUITS — FRANCE</x:v>
      </x:c>
      <x:c r="B1" s="4"/>
      <x:c r="C1" s="4"/>
      <x:c r="D1" s="4"/>
      <x:c r="E1" s="4"/>
      <x:c r="F1" s="4"/>
      <x:c r="G1" s="4"/>
      <x:c r="H1" s="4"/>
    </x:row>
    <x:row r="2" ht="32" customHeight="1">
      <x:c r="A2" s="9" t="str">
        <x:v>Run Codex 20260720-124517 · 40 familles épuisées · statut fournisseur encore à compléter pour les marchés retenus</x:v>
      </x:c>
      <x:c r="B2" s="9"/>
      <x:c r="C2" s="9"/>
      <x:c r="D2" s="9"/>
      <x:c r="E2" s="9"/>
      <x:c r="F2" s="9"/>
      <x:c r="G2" s="9"/>
      <x:c r="H2" s="9"/>
    </x:row>
    <x:row r="4">
      <x:c r="A4" s="12" t="str">
        <x:v>TOTAL PRODUITS</x:v>
      </x:c>
      <x:c r="B4" s="12"/>
      <x:c r="C4" s="12" t="str">
        <x:v>VALIDÉS</x:v>
      </x:c>
      <x:c r="D4" s="12"/>
      <x:c r="E4" s="12" t="str">
        <x:v>CREUSÉS</x:v>
      </x:c>
      <x:c r="F4" s="12"/>
      <x:c r="G4" s="12" t="str">
        <x:v>EXCLUS</x:v>
      </x:c>
      <x:c r="H4" s="12"/>
    </x:row>
    <x:row r="5" ht="28" customHeight="1">
      <x:c r="A5" s="17" t="n">
        <x:f>COUNTA(Produits!$C$6:$C$115)</x:f>
        <x:v>110</x:v>
      </x:c>
      <x:c r="B5" s="17"/>
      <x:c r="C5" s="22" t="n">
        <x:f>COUNTIF(Produits!$A$6:$A$115,"VALIDÉ")</x:f>
        <x:v>17</x:v>
      </x:c>
      <x:c r="D5" s="22"/>
      <x:c r="E5" s="27" t="n">
        <x:f>COUNTIF(Produits!$A$6:$A$115,"CREUSÉ")</x:f>
        <x:v>39</x:v>
      </x:c>
      <x:c r="F5" s="27"/>
      <x:c r="G5" s="32" t="n">
        <x:f>COUNTIF(Produits!$A$6:$A$115,"EXCLU")</x:f>
        <x:v>54</x:v>
      </x:c>
      <x:c r="H5" s="32"/>
    </x:row>
    <x:row r="6" ht="28" customHeight="1">
      <x:c r="A6" s="17"/>
      <x:c r="B6" s="17"/>
      <x:c r="C6" s="22"/>
      <x:c r="D6" s="22"/>
      <x:c r="E6" s="27"/>
      <x:c r="F6" s="27"/>
      <x:c r="G6" s="32"/>
      <x:c r="H6" s="32"/>
    </x:row>
    <x:row r="9">
      <x:c r="A9" s="36" t="str">
        <x:v>LÉGENDE ET RÈGLE DE CLASSEMENT</x:v>
      </x:c>
      <x:c r="B9" s="36"/>
      <x:c r="C9" s="36"/>
      <x:c r="D9" s="36"/>
      <x:c r="E9" s="36"/>
      <x:c r="F9" s="36"/>
      <x:c r="G9" s="36"/>
      <x:c r="H9" s="36"/>
    </x:row>
    <x:row r="10" ht="36" customHeight="1">
      <x:c r="A10" s="22" t="str">
        <x:v>VALIDÉ</x:v>
      </x:c>
      <x:c r="B10" s="22"/>
      <x:c r="C10" s="42" t="str">
        <x:v>Marché retenu : demande, SERP et prix ont passé les portes. Le fournisseur et l'économie restent à confirmer.</x:v>
      </x:c>
      <x:c r="D10" s="42"/>
      <x:c r="E10" s="42"/>
      <x:c r="F10" s="42"/>
      <x:c r="G10" s="42"/>
      <x:c r="H10" s="42"/>
    </x:row>
    <x:row r="11" ht="36" customHeight="1">
      <x:c r="A11" s="27" t="str">
        <x:v>CREUSÉ</x:v>
      </x:c>
      <x:c r="B11" s="27"/>
      <x:c r="C11" s="42" t="str">
        <x:v>Piste analysée au-delà du seul volume, puis arrêtée sur prix, concurrence, sécurité, logistique, SAV ou risque comparable.</x:v>
      </x:c>
      <x:c r="D11" s="42"/>
      <x:c r="E11" s="42"/>
      <x:c r="F11" s="42"/>
      <x:c r="G11" s="42"/>
      <x:c r="H11" s="42"/>
    </x:row>
    <x:row r="12" ht="36" customHeight="1">
      <x:c r="A12" s="32" t="str">
        <x:v>EXCLU</x:v>
      </x:c>
      <x:c r="B12" s="32"/>
      <x:c r="C12" s="42" t="str">
        <x:v>Exclusion ferme dans ce run : volume/adressabilité insuffisants, preuve volume absente ou doublon historique sans reprise motivée.</x:v>
      </x:c>
      <x:c r="D12" s="42"/>
      <x:c r="E12" s="42"/>
      <x:c r="F12" s="42"/>
      <x:c r="G12" s="42"/>
      <x:c r="H12" s="42"/>
    </x:row>
    <x:row r="14" ht="38" customHeight="1">
      <x:c r="A14" s="50" t="str">
        <x:v>Utilisation : ouvre l'onglet Produits, filtre la colonne Statut, Priorité, Famille ou Porte / motif. La liste déroulante de Statut recolore automatiquement toute la ligne.</x:v>
      </x:c>
      <x:c r="B14" s="51"/>
      <x:c r="C14" s="51"/>
      <x:c r="D14" s="51"/>
      <x:c r="E14" s="51"/>
      <x:c r="F14" s="51"/>
      <x:c r="G14" s="51"/>
      <x:c r="H14" s="52"/>
    </x:row>
    <x:row r="16">
      <x:c r="A16" s="55" t="str">
        <x:v>Source : /Users/Hakim/Documents/Boutiques drop/boutique-pipeline/codex-chasse-clusters/registre-candidats.codex.md · Généré le 20/07/2026</x:v>
      </x:c>
      <x:c r="B16" s="55"/>
      <x:c r="C16" s="55"/>
      <x:c r="D16" s="55"/>
      <x:c r="E16" s="55"/>
      <x:c r="F16" s="55"/>
      <x:c r="G16" s="55"/>
      <x:c r="H16" s="55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9:H9"/>
    <x:mergeCell ref="A10:B10"/>
    <x:mergeCell ref="C10:H10"/>
    <x:mergeCell ref="A11:B11"/>
    <x:mergeCell ref="C11:H11"/>
    <x:mergeCell ref="A12:B12"/>
    <x:mergeCell ref="C12:H12"/>
    <x:mergeCell ref="A14:H1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32" hidden="0" customWidth="1"/>
    <x:col min="5" max="5" width="25" hidden="0" customWidth="1"/>
    <x:col min="6" max="6" width="25" hidden="0" customWidth="1"/>
    <x:col min="7" max="7" width="27" hidden="0" customWidth="1"/>
    <x:col min="8" max="8" width="24" hidden="0" customWidth="1"/>
    <x:col min="9" max="9" width="18" hidden="0" customWidth="1"/>
    <x:col min="10" max="10" width="12" hidden="0" customWidth="1"/>
    <x:col min="11" max="11" width="19" hidden="0" customWidth="1"/>
    <x:col min="12" max="12" width="58" hidden="0" customWidth="1"/>
    <x:col min="13" max="13" width="47" hidden="0" customWidth="1"/>
    <x:col min="14" max="14" width="47" hidden="0" customWidth="1"/>
    <x:col min="15" max="15" width="32" hidden="0" customWidth="1"/>
    <x:col min="16" max="16" width="48" hidden="0" customWidth="1"/>
    <x:col min="17" max="17" width="50" hidden="0" customWidth="1"/>
    <x:col min="18" max="18" width="58" hidden="0" customWidth="1"/>
  </x:cols>
  <x:sheetData>
    <x:row r="1" ht="32" customHeight="1">
      <x:c r="A1" s="57" t="str">
        <x:v>PRODUITS ET THÉMATIQUES — REGISTRE FILTRABLE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</x:row>
    <x:row r="2">
      <x:c r="A2" s="59" t="str">
        <x:v>Vert = marché retenu · Orange = piste approfondie puis arrêtée · Rouge = exclusion ferme dans ce run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</x:row>
    <x:row r="3">
      <x:c r="A3" s="63" t="str">
        <x:v>Les 17 lignes VALIDÉES correspondent à des marchés à sourcer : aucun fournisseur AliExpress ni lancement n'est encore validé.</x:v>
      </x:c>
      <x:c r="B3" s="63"/>
      <x:c r="C3" s="63"/>
      <x:c r="D3" s="63"/>
      <x:c r="E3" s="63"/>
      <x:c r="F3" s="63"/>
      <x:c r="G3" s="63"/>
      <x:c r="H3" s="63"/>
      <x:c r="I3" s="63"/>
      <x:c r="J3" s="63"/>
      <x:c r="K3" s="63"/>
      <x:c r="L3" s="63"/>
      <x:c r="M3" s="63"/>
      <x:c r="N3" s="63"/>
      <x:c r="O3" s="63"/>
      <x:c r="P3" s="63"/>
      <x:c r="Q3" s="63"/>
      <x:c r="R3" s="63"/>
    </x:row>
    <x:row r="5" ht="42" customHeight="1">
      <x:c r="A5" s="70" t="str">
        <x:v>Statut</x:v>
      </x:c>
      <x:c r="B5" s="70" t="str">
        <x:v>Priorité sourcing</x:v>
      </x:c>
      <x:c r="C5" s="70" t="str">
        <x:v>ID</x:v>
      </x:c>
      <x:c r="D5" s="70" t="str">
        <x:v>Produit / thématique</x:v>
      </x:c>
      <x:c r="E5" s="70" t="str">
        <x:v>Famille</x:v>
      </x:c>
      <x:c r="F5" s="70" t="str">
        <x:v>Verdict source</x:v>
      </x:c>
      <x:c r="G5" s="70" t="str">
        <x:v>Porte / motif</x:v>
      </x:c>
      <x:c r="H5" s="70" t="str">
        <x:v>Volume FR</x:v>
      </x:c>
      <x:c r="I5" s="70" t="str">
        <x:v>Prix marché TTC</x:v>
      </x:c>
      <x:c r="J5" s="70" t="str">
        <x:v>CPC</x:v>
      </x:c>
      <x:c r="K5" s="70" t="str">
        <x:v>Coût livré maximal</x:v>
      </x:c>
      <x:c r="L5" s="70" t="str">
        <x:v>Concurrence / motif factuel</x:v>
      </x:c>
      <x:c r="M5" s="70" t="str">
        <x:v>Requête AliExpress FR</x:v>
      </x:c>
      <x:c r="N5" s="70" t="str">
        <x:v>Requête AliExpress EN</x:v>
      </x:c>
      <x:c r="O5" s="70" t="str">
        <x:v>Lien fournisseur AliExpress</x:v>
      </x:c>
      <x:c r="P5" s="70" t="str">
        <x:v>Rapport / dossier</x:v>
      </x:c>
      <x:c r="Q5" s="70" t="str">
        <x:v>Réserves / conditions</x:v>
      </x:c>
      <x:c r="R5" s="70" t="str">
        <x:v>Source de vérité</x:v>
      </x:c>
    </x:row>
    <x:row r="6" ht="48" customHeight="1">
      <x:c r="A6" s="73" t="str">
        <x:v>VALIDÉ</x:v>
      </x:c>
      <x:c r="B6" s="72" t="n">
        <x:v>1</x:v>
      </x:c>
      <x:c r="C6" s="71" t="str">
        <x:v>f23-brassage-conservation-c01-deshydrateur</x:v>
      </x:c>
      <x:c r="D6" s="71" t="str">
        <x:v>Déshydrateur alimentaire inox 10 plateaux</x:v>
      </x:c>
      <x:c r="E6" s="71" t="str">
        <x:v>Brassage, fermentation &amp; conservation</x:v>
      </x:c>
      <x:c r="F6" s="72" t="str">
        <x:v>RETENU_MARCHE_A_SOURCER</x:v>
      </x:c>
      <x:c r="G6" s="71" t="str">
        <x:v>Marché qualifié — fournisseur et économie à valider</x:v>
      </x:c>
      <x:c r="H6" s="71" t="str">
        <x:v>12 100/mois (tête seule)</x:v>
      </x:c>
      <x:c r="I6" s="71" t="str">
        <x:v>157–337 EUR</x:v>
      </x:c>
      <x:c r="J6" s="71" t="str">
        <x:v>0,17 EUR</x:v>
      </x:c>
      <x:c r="K6" s="71" t="str">
        <x:v>65–75 EUR</x:v>
      </x:c>
      <x:c r="L6" s="71" t="str">
        <x:v>SERP fragmentée ; plancher GGM/VEVOR 157–180 EUR, preuve visible modérée</x:v>
      </x:c>
      <x:c r="M6" s="71" t="str">
        <x:v>déshydrateur alimentaire inox 10 plateaux 1000W entrepôt Europe</x:v>
      </x:c>
      <x:c r="N6" s="71" t="str">
        <x:v>stainless steel food dehydrator 10 trays rear fan 1000W EU warehouse</x:v>
      </x:c>
      <x:c r="O6" s="71" t="str"/>
      <x:c r="P6" s="71" t="str">
        <x:v>reports/dossier-f23-brassage-conservation-f23-brassage-conservation-c01-deshydrateur-20260720-124517-a1.md</x:v>
      </x:c>
      <x:c r="Q6" s="71" t="str">
        <x:v>Coût cible ≤65–75 EUR ; contact alimentaire, température, ventilation et sécurité à auditer</x:v>
      </x:c>
      <x:c r="R6" s="71" t="str">
        <x:v>/Users/Hakim/Documents/Boutiques drop/boutique-pipeline/codex-chasse-clusters/registre-candidats.codex.md</x:v>
      </x:c>
    </x:row>
    <x:row r="7" ht="48" customHeight="1">
      <x:c r="A7" s="73" t="str">
        <x:v>VALIDÉ</x:v>
      </x:c>
      <x:c r="B7" s="72" t="n">
        <x:v>1</x:v>
      </x:c>
      <x:c r="C7" s="71" t="str">
        <x:v>f24-restauration-food-truck-c01-machine-popcorn</x:v>
      </x:c>
      <x:c r="D7" s="71" t="str">
        <x:v>Machine à pop-corn professionnelle de comptoir 8 oz</x:v>
      </x:c>
      <x:c r="E7" s="71" t="str">
        <x:v>Restauration &amp; food truck</x:v>
      </x:c>
      <x:c r="F7" s="72" t="str">
        <x:v>RETENU_MARCHE_A_SOURCER</x:v>
      </x:c>
      <x:c r="G7" s="71" t="str">
        <x:v>Marché qualifié — fournisseur et économie à valider</x:v>
      </x:c>
      <x:c r="H7" s="71" t="str">
        <x:v>15 510/mois</x:v>
      </x:c>
      <x:c r="I7" s="71" t="str">
        <x:v>170–349 EUR</x:v>
      </x:c>
      <x:c r="J7" s="71" t="str">
        <x:v>0,13–0,20 EUR</x:v>
      </x:c>
      <x:c r="K7" s="71" t="str">
        <x:v>80–95 EUR</x:v>
      </x:c>
      <x:c r="L7" s="71" t="str">
        <x:v>SERP partagée ; Fourniresto multi-emplacements mais avis visibles modestes</x:v>
      </x:c>
      <x:c r="M7" s="71" t="str">
        <x:v>machine pop corn professionnelle 8 oz 1350W comptoir entrepôt Europe</x:v>
      </x:c>
      <x:c r="N7" s="71" t="str">
        <x:v>commercial popcorn machine 8oz countertop tempered glass EU warehouse</x:v>
      </x:c>
      <x:c r="O7" s="71" t="str"/>
      <x:c r="P7" s="71" t="str">
        <x:v>reports/dossier-f24-restauration-food-truck-f24-restauration-food-truck-c01-machine-popcorn-20260720-124517-a1.md</x:v>
      </x:c>
      <x:c r="Q7" s="71" t="str">
        <x:v>Coût cible ≤80–95 EUR ; cuve, verre, chauffe, contact alimentaire et casse à auditer</x:v>
      </x:c>
      <x:c r="R7" s="71" t="str">
        <x:v>/Users/Hakim/Documents/Boutiques drop/boutique-pipeline/codex-chasse-clusters/registre-candidats.codex.md</x:v>
      </x:c>
    </x:row>
    <x:row r="8" ht="48" customHeight="1">
      <x:c r="A8" s="73" t="str">
        <x:v>VALIDÉ</x:v>
      </x:c>
      <x:c r="B8" s="72" t="n">
        <x:v>1</x:v>
      </x:c>
      <x:c r="C8" s="71" t="str">
        <x:v>f27-esthetique-coiffure-c01-table-massage-pliante</x:v>
      </x:c>
      <x:c r="D8" s="71" t="str">
        <x:v>Table de massage pliante professionnelle trois zones</x:v>
      </x:c>
      <x:c r="E8" s="71" t="str">
        <x:v>Esthétique &amp; coiffure pro</x:v>
      </x:c>
      <x:c r="F8" s="72" t="str">
        <x:v>RETENU_MARCHE_A_SOURCER</x:v>
      </x:c>
      <x:c r="G8" s="71" t="str">
        <x:v>Marché qualifié — fournisseur et économie à valider</x:v>
      </x:c>
      <x:c r="H8" s="71" t="str">
        <x:v>12 100/mois tête ; 6 600 pliante</x:v>
      </x:c>
      <x:c r="I8" s="71" t="str">
        <x:v>199–339 EUR</x:v>
      </x:c>
      <x:c r="J8" s="71" t="str">
        <x:v>0,26–0,54 EUR</x:v>
      </x:c>
      <x:c r="K8" s="71" t="str">
        <x:v>70–85 EUR</x:v>
      </x:c>
      <x:c r="L8" s="71" t="str">
        <x:v>SERP fragmentée ; tectake fort au plancher avec 544 avis</x:v>
      </x:c>
      <x:c r="M8" s="71" t="str">
        <x:v>table massage pliante professionnelle bois 3 zones mousse 8cm entrepot Europe</x:v>
      </x:c>
      <x:c r="N8" s="71" t="str">
        <x:v>professional portable massage table 3 section 8cm foam beech EU warehouse</x:v>
      </x:c>
      <x:c r="O8" s="71" t="str"/>
      <x:c r="P8" s="71" t="str">
        <x:v>reports/dossier-f27-esthetique-coiffure-f27-esthetique-coiffure-c01-table-massage-pliante-20260720-124517-a1.md</x:v>
      </x:c>
      <x:c r="Q8" s="71" t="str">
        <x:v>Coût cible ≤70–85 EUR ; mousse, charge, stabilité, matériaux, pièces et colis à auditer</x:v>
      </x:c>
      <x:c r="R8" s="71" t="str">
        <x:v>/Users/Hakim/Documents/Boutiques drop/boutique-pipeline/codex-chasse-clusters/registre-candidats.codex.md</x:v>
      </x:c>
    </x:row>
    <x:row r="9" ht="48" customHeight="1">
      <x:c r="A9" s="73" t="str">
        <x:v>VALIDÉ</x:v>
      </x:c>
      <x:c r="B9" s="72" t="n">
        <x:v>1</x:v>
      </x:c>
      <x:c r="C9" s="71" t="str">
        <x:v>f30-astronomie-optique-c01-longue-vue</x:v>
      </x:c>
      <x:c r="D9" s="71" t="str">
        <x:v>Longue-vue 20–60×80 étanche, trépied et adaptateur smartphone</x:v>
      </x:c>
      <x:c r="E9" s="71" t="str">
        <x:v>Astronomie &amp; optique</x:v>
      </x:c>
      <x:c r="F9" s="72" t="str">
        <x:v>RETENU_MARCHE_A_SOURCER</x:v>
      </x:c>
      <x:c r="G9" s="71" t="str">
        <x:v>Marché qualifié — fournisseur et économie à valider</x:v>
      </x:c>
      <x:c r="H9" s="71" t="str">
        <x:v>11 800/mois</x:v>
      </x:c>
      <x:c r="I9" s="71" t="str">
        <x:v>169,99–219,90 EUR</x:v>
      </x:c>
      <x:c r="J9" s="71" t="str">
        <x:v>0,28–0,41 EUR</x:v>
      </x:c>
      <x:c r="K9" s="71" t="str">
        <x:v>55–65 EUR</x:v>
      </x:c>
      <x:c r="L9" s="71" t="str">
        <x:v>SERP partagée ; K&amp;F à 169,99 EUR constitue un plancher sévère</x:v>
      </x:c>
      <x:c r="M9" s="71" t="str">
        <x:v>longue vue 20-60x80 etanche trepied adaptateur smartphone entrepot Europe</x:v>
      </x:c>
      <x:c r="N9" s="71" t="str">
        <x:v>20-60x80 spotting scope waterproof tripod phone adapter EU warehouse</x:v>
      </x:c>
      <x:c r="O9" s="71" t="str"/>
      <x:c r="P9" s="71" t="str">
        <x:v>reports/dossier-f30-astronomie-optique-f30-astronomie-optique-c01-longue-vue-20260720-124517-a1.md</x:v>
      </x:c>
      <x:c r="Q9" s="71" t="str">
        <x:v>Coût cible ≤55–65 EUR ; ouverture, zoom, BAK4/FMC, étanchéité, trépied et qualité d'image à auditer</x:v>
      </x:c>
      <x:c r="R9" s="71" t="str">
        <x:v>/Users/Hakim/Documents/Boutiques drop/boutique-pipeline/codex-chasse-clusters/registre-candidats.codex.md</x:v>
      </x:c>
    </x:row>
    <x:row r="10" ht="48" customHeight="1">
      <x:c r="A10" s="73" t="str">
        <x:v>VALIDÉ</x:v>
      </x:c>
      <x:c r="B10" s="72" t="n">
        <x:v>1</x:v>
      </x:c>
      <x:c r="C10" s="71" t="str">
        <x:v>f38-eclairage-decoratif-c01-lampadaire-design</x:v>
      </x:c>
      <x:c r="D10" s="71" t="str">
        <x:v>Lampadaire LED arqué moderne et dimmable</x:v>
      </x:c>
      <x:c r="E10" s="71" t="str">
        <x:v>Éclairage décoratif &amp; scénographie</x:v>
      </x:c>
      <x:c r="F10" s="72" t="str">
        <x:v>RETENU_MARCHE_A_SOURCER</x:v>
      </x:c>
      <x:c r="G10" s="71" t="str">
        <x:v>Marché qualifié — fournisseur et économie à valider</x:v>
      </x:c>
      <x:c r="H10" s="71" t="str">
        <x:v>10 460/mois</x:v>
      </x:c>
      <x:c r="I10" s="71" t="str">
        <x:v>159–399,99 EUR</x:v>
      </x:c>
      <x:c r="J10" s="71" t="str">
        <x:v>0,23–0,33 EUR</x:v>
      </x:c>
      <x:c r="K10" s="71" t="str">
        <x:v>65–75 EUR</x:v>
      </x:c>
      <x:c r="L10" s="71" t="str">
        <x:v>SERP fragmentée ; Inoleds pose un plancher à 159 EUR avec 201 avis</x:v>
      </x:c>
      <x:c r="M10" s="71" t="str">
        <x:v>lampadaire arc LED moderne dimmable salon télécommande 180cm entrepôt Europe</x:v>
      </x:c>
      <x:c r="N10" s="71" t="str">
        <x:v>modern LED arc floor lamp dimmable remote EU plug EU warehouse</x:v>
      </x:c>
      <x:c r="O10" s="71" t="str"/>
      <x:c r="P10" s="71" t="str">
        <x:v>reports/dossier-f38-eclairage-decoratif-f38-eclairage-decoratif-c01-lampadaire-design-20260720-124517-a1.md</x:v>
      </x:c>
      <x:c r="Q10" s="71" t="str">
        <x:v>Coût cible ≤65–75 EUR ; stabilité, dimensions, LVD/EMC/RoHS, driver, casse et colis à auditer</x:v>
      </x:c>
      <x:c r="R10" s="71" t="str">
        <x:v>/Users/Hakim/Documents/Boutiques drop/boutique-pipeline/codex-chasse-clusters/registre-candidats.codex.md</x:v>
      </x:c>
    </x:row>
    <x:row r="11" ht="48" customHeight="1">
      <x:c r="A11" s="73" t="str">
        <x:v>VALIDÉ</x:v>
      </x:c>
      <x:c r="B11" s="72" t="n">
        <x:v>1</x:v>
      </x:c>
      <x:c r="C11" s="71" t="str">
        <x:v>f38-eclairage-decoratif-c02-lustre-moderne</x:v>
      </x:c>
      <x:c r="D11" s="71" t="str">
        <x:v>Lustre LED moderne de salon, 3–4 anneaux / env. 80 cm</x:v>
      </x:c>
      <x:c r="E11" s="71" t="str">
        <x:v>Éclairage décoratif &amp; scénographie</x:v>
      </x:c>
      <x:c r="F11" s="72" t="str">
        <x:v>RETENU_MARCHE_A_SOURCER</x:v>
      </x:c>
      <x:c r="G11" s="71" t="str">
        <x:v>Marché qualifié — fournisseur et économie à valider</x:v>
      </x:c>
      <x:c r="H11" s="71" t="str">
        <x:v>10 600/mois</x:v>
      </x:c>
      <x:c r="I11" s="71" t="str">
        <x:v>159,90–379,99 EUR</x:v>
      </x:c>
      <x:c r="J11" s="71" t="str">
        <x:v>0,17–0,28 EUR</x:v>
      </x:c>
      <x:c r="K11" s="71" t="str">
        <x:v>60–70 EUR</x:v>
      </x:c>
      <x:c r="L11" s="71" t="str">
        <x:v>SERP fragmentée entre boutiques spécialisées, sans preuve sociale dominante visible</x:v>
      </x:c>
      <x:c r="M11" s="71" t="str">
        <x:v>lustre moderne salon LED anneaux 80cm dimmable télécommande stock Europe</x:v>
      </x:c>
      <x:c r="N11" s="71" t="str">
        <x:v>modern ring LED chandelier 80 cm dimmable remote EU warehouse 220V</x:v>
      </x:c>
      <x:c r="O11" s="71" t="str"/>
      <x:c r="P11" s="71" t="str">
        <x:v>reports/dossier-f38-eclairage-decoratif-f38-eclairage-decoratif-c02-lustre-moderne-20260720-124517-a1.md</x:v>
      </x:c>
      <x:c r="Q11" s="71" t="str">
        <x:v>Coût cible ≤60–70 EUR ; configuration, fixation, LVD/EMC/RoHS, driver, installation et casse à auditer</x:v>
      </x:c>
      <x:c r="R11" s="71" t="str">
        <x:v>/Users/Hakim/Documents/Boutiques drop/boutique-pipeline/codex-chasse-clusters/registre-candidats.codex.md</x:v>
      </x:c>
    </x:row>
    <x:row r="12" ht="48" customHeight="1">
      <x:c r="A12" s="73" t="str">
        <x:v>VALIDÉ</x:v>
      </x:c>
      <x:c r="B12" s="72" t="n">
        <x:v>2</x:v>
      </x:c>
      <x:c r="C12" s="71" t="str">
        <x:v>f08-traitement-air-c01-purificateur-air</x:v>
      </x:c>
      <x:c r="D12" s="71" t="str">
        <x:v>Purificateur d'air HEPA grande pièce</x:v>
      </x:c>
      <x:c r="E12" s="71" t="str">
        <x:v>Traitement de l'air</x:v>
      </x:c>
      <x:c r="F12" s="72" t="str">
        <x:v>RETENU_MARCHE_A_SOURCER</x:v>
      </x:c>
      <x:c r="G12" s="71" t="str">
        <x:v>Marché qualifié — fournisseur et économie à valider</x:v>
      </x:c>
      <x:c r="H12" s="71" t="str">
        <x:v>27 100/mois (tête seule)</x:v>
      </x:c>
      <x:c r="I12" s="71" t="str">
        <x:v>189–399 EUR</x:v>
      </x:c>
      <x:c r="J12" s="71" t="str">
        <x:v>0,22 EUR</x:v>
      </x:c>
      <x:c r="K12" s="71" t="str">
        <x:v>90–110 EUR</x:v>
      </x:c>
      <x:c r="L12" s="71" t="str">
        <x:v>SERP fragmentée : spécialistes, marques et génériques</x:v>
      </x:c>
      <x:c r="M12" s="71" t="str">
        <x:v>purificateur air HEPA H13 grande pièce 60 m2 entrepôt France</x:v>
      </x:c>
      <x:c r="N12" s="71" t="str">
        <x:v>air purifier HEPA H13 large room CADR 300 EU plug EU warehouse</x:v>
      </x:c>
      <x:c r="O12" s="71" t="str"/>
      <x:c r="P12" s="71" t="str">
        <x:v>reports/dossier-f08-traitement-air-f08-traitement-air-c01-purificateur-air-20260720-124517-a1.md</x:v>
      </x:c>
      <x:c r="Q12" s="71" t="str">
        <x:v>CADR/HEPA, bruit, filtres, CE/RoHS/DEEE, coût et délai à contrôler</x:v>
      </x:c>
      <x:c r="R12" s="71" t="str">
        <x:v>/Users/Hakim/Documents/Boutiques drop/boutique-pipeline/codex-chasse-clusters/registre-candidats.codex.md</x:v>
      </x:c>
    </x:row>
    <x:row r="13" ht="48" customHeight="1">
      <x:c r="A13" s="73" t="str">
        <x:v>VALIDÉ</x:v>
      </x:c>
      <x:c r="B13" s="72" t="n">
        <x:v>2</x:v>
      </x:c>
      <x:c r="C13" s="71" t="str">
        <x:v>f10-climat-humidite-c01-deshumidificateur</x:v>
      </x:c>
      <x:c r="D13" s="71" t="str">
        <x:v>Déshumidificateur compresseur 20 L/jour</x:v>
      </x:c>
      <x:c r="E13" s="71" t="str">
        <x:v>Chauffage, climatisation &amp; humidité</x:v>
      </x:c>
      <x:c r="F13" s="72" t="str">
        <x:v>RETENU_MARCHE_A_SOURCER</x:v>
      </x:c>
      <x:c r="G13" s="71" t="str">
        <x:v>Marché qualifié — fournisseur et économie à valider</x:v>
      </x:c>
      <x:c r="H13" s="71" t="str">
        <x:v>27 100/mois (tête seule)</x:v>
      </x:c>
      <x:c r="I13" s="71" t="str">
        <x:v>159,95–399 EUR</x:v>
      </x:c>
      <x:c r="J13" s="71" t="str">
        <x:v>0,31 EUR</x:v>
      </x:c>
      <x:c r="K13" s="71" t="str">
        <x:v>100–120 EUR</x:v>
      </x:c>
      <x:c r="L13" s="71" t="str">
        <x:v>SERP partagée ; Pro Breeze fort mais non monopolistique</x:v>
      </x:c>
      <x:c r="M13" s="71" t="str">
        <x:v>déshumidificateur 20L jour compresseur hygrostat drainage continu entrepôt Europe</x:v>
      </x:c>
      <x:c r="N13" s="71" t="str">
        <x:v>20L dehumidifier compressor 220V EU plug EU warehouse France</x:v>
      </x:c>
      <x:c r="O13" s="71" t="str"/>
      <x:c r="P13" s="71" t="str">
        <x:v>reports/dossier-f10-climat-humidite-f10-climat-humidite-c01-deshumidificateur-20260720-124517-a1.md</x:v>
      </x:c>
      <x:c r="Q13" s="71" t="str">
        <x:v>Capacité réelle, bruit, fluide, CE/RoHS/DEEE, coût et SAV à contrôler</x:v>
      </x:c>
      <x:c r="R13" s="71" t="str">
        <x:v>/Users/Hakim/Documents/Boutiques drop/boutique-pipeline/codex-chasse-clusters/registre-candidats.codex.md</x:v>
      </x:c>
    </x:row>
    <x:row r="14" ht="48" customHeight="1">
      <x:c r="A14" s="73" t="str">
        <x:v>VALIDÉ</x:v>
      </x:c>
      <x:c r="B14" s="72" t="n">
        <x:v>2</x:v>
      </x:c>
      <x:c r="C14" s="71" t="str">
        <x:v>f11-animalerie-c01-poussette-chien</x:v>
      </x:c>
      <x:c r="D14" s="71" t="str">
        <x:v>Poussette tout-terrain chien moyen/grand</x:v>
      </x:c>
      <x:c r="E14" s="71" t="str">
        <x:v>Animalerie équipement</x:v>
      </x:c>
      <x:c r="F14" s="72" t="str">
        <x:v>RETENU_MARCHE_A_SOURCER</x:v>
      </x:c>
      <x:c r="G14" s="71" t="str">
        <x:v>Marché qualifié — fournisseur et économie à valider</x:v>
      </x:c>
      <x:c r="H14" s="71" t="str">
        <x:v>13 600/mois</x:v>
      </x:c>
      <x:c r="I14" s="71" t="str">
        <x:v>182,84–500 EUR</x:v>
      </x:c>
      <x:c r="J14" s="71" t="str">
        <x:v>0,09 EUR</x:v>
      </x:c>
      <x:c r="K14" s="71" t="str">
        <x:v>100–130 EUR</x:v>
      </x:c>
      <x:c r="L14" s="71" t="str">
        <x:v>SERP fragmentée ; spécialistes, marketplaces et génériques</x:v>
      </x:c>
      <x:c r="M14" s="71" t="str">
        <x:v>poussette chien grande taille 40kg pliable tout terrain entrepôt Europe</x:v>
      </x:c>
      <x:c r="N14" s="71" t="str">
        <x:v>large dog stroller 40kg foldable all terrain EU warehouse</x:v>
      </x:c>
      <x:c r="O14" s="71" t="str"/>
      <x:c r="P14" s="71" t="str">
        <x:v>reports/dossier-f11-animalerie-f11-animalerie-c01-poussette-chien-20260720-124517-a1.md</x:v>
      </x:c>
      <x:c r="Q14" s="71" t="str">
        <x:v>Charge/dimensions, stabilité, freins, roues, coût et retour à contrôler</x:v>
      </x:c>
      <x:c r="R14" s="71" t="str">
        <x:v>/Users/Hakim/Documents/Boutiques drop/boutique-pipeline/codex-chasse-clusters/registre-candidats.codex.md</x:v>
      </x:c>
    </x:row>
    <x:row r="15" ht="48" customHeight="1">
      <x:c r="A15" s="73" t="str">
        <x:v>VALIDÉ</x:v>
      </x:c>
      <x:c r="B15" s="72" t="n">
        <x:v>2</x:v>
      </x:c>
      <x:c r="C15" s="71" t="str">
        <x:v>f15-piscine-spa-c01-douche-solaire</x:v>
      </x:c>
      <x:c r="D15" s="71" t="str">
        <x:v>Douche solaire piscine 35–40 L avec rince-pieds</x:v>
      </x:c>
      <x:c r="E15" s="71" t="str">
        <x:v>Piscine &amp; spa</x:v>
      </x:c>
      <x:c r="F15" s="72" t="str">
        <x:v>RETENU_MARCHE_A_SOURCER</x:v>
      </x:c>
      <x:c r="G15" s="71" t="str">
        <x:v>Marché qualifié — fournisseur et économie à valider</x:v>
      </x:c>
      <x:c r="H15" s="71" t="str">
        <x:v>17 310/mois</x:v>
      </x:c>
      <x:c r="I15" s="71" t="str">
        <x:v>118–379 EUR</x:v>
      </x:c>
      <x:c r="J15" s="71" t="str">
        <x:v>0,18–0,20 EUR</x:v>
      </x:c>
      <x:c r="K15" s="71" t="str">
        <x:v>75–85 EUR</x:v>
      </x:c>
      <x:c r="L15" s="71" t="str">
        <x:v>SERP fragmentée entre spécialistes, marketplaces et génériques</x:v>
      </x:c>
      <x:c r="M15" s="71" t="str">
        <x:v>douche solaire piscine 40L aluminium noir entrepôt Europe</x:v>
      </x:c>
      <x:c r="N15" s="71" t="str">
        <x:v>40L solar shower outdoor pool foot wash EU warehouse</x:v>
      </x:c>
      <x:c r="O15" s="71" t="str"/>
      <x:c r="P15" s="71" t="str">
        <x:v>reports/dossier-f15-piscine-spa-f15-piscine-spa-c01-douche-solaire-20260720-124517-a1.md</x:v>
      </x:c>
      <x:c r="Q15" s="71" t="str">
        <x:v>Coût cible ≤75–85 EUR ; capacité, UV, raccords, vidange, fuite et colis à contrôler</x:v>
      </x:c>
      <x:c r="R15" s="71" t="str">
        <x:v>/Users/Hakim/Documents/Boutiques drop/boutique-pipeline/codex-chasse-clusters/registre-candidats.codex.md</x:v>
      </x:c>
    </x:row>
    <x:row r="16" ht="48" customHeight="1">
      <x:c r="A16" s="73" t="str">
        <x:v>VALIDÉ</x:v>
      </x:c>
      <x:c r="B16" s="72" t="n">
        <x:v>2</x:v>
      </x:c>
      <x:c r="C16" s="71" t="str">
        <x:v>f19-textile-couture-c01-surjeteuse</x:v>
      </x:c>
      <x:c r="D16" s="71" t="str">
        <x:v>Surjeteuse 2/3/4 fils débutant</x:v>
      </x:c>
      <x:c r="E16" s="71" t="str">
        <x:v>Textile, couture &amp; tissage</x:v>
      </x:c>
      <x:c r="F16" s="72" t="str">
        <x:v>RETENU_MARCHE_A_SOURCER</x:v>
      </x:c>
      <x:c r="G16" s="71" t="str">
        <x:v>Marché qualifié — fournisseur et économie à valider</x:v>
      </x:c>
      <x:c r="H16" s="71" t="str">
        <x:v>12 100/mois (tête seule)</x:v>
      </x:c>
      <x:c r="I16" s="71" t="str">
        <x:v>182,90–269 EUR</x:v>
      </x:c>
      <x:c r="J16" s="71" t="str">
        <x:v>0,14 EUR</x:v>
      </x:c>
      <x:c r="K16" s="71" t="str">
        <x:v>75–85 EUR</x:v>
      </x:c>
      <x:c r="L16" s="71" t="str">
        <x:v>SERP partagée entre VEVOR, Viola, Necchi, Brother et Janome</x:v>
      </x:c>
      <x:c r="M16" s="71" t="str">
        <x:v>surjeteuse 4 fils 2 3 4 overlock machine entrepôt Europe prise EU</x:v>
      </x:c>
      <x:c r="N16" s="71" t="str">
        <x:v>4 thread overlock sewing machine differential feed EU plug warehouse</x:v>
      </x:c>
      <x:c r="O16" s="71" t="str"/>
      <x:c r="P16" s="71" t="str">
        <x:v>reports/dossier-f19-textile-couture-f19-textile-couture-c01-surjeteuse-20260720-124517-a1.md</x:v>
      </x:c>
      <x:c r="Q16" s="71" t="str">
        <x:v>Coût cible ≤75–85 EUR ; forte exigence conformité, enfilage, pièces et SAV</x:v>
      </x:c>
      <x:c r="R16" s="71" t="str">
        <x:v>/Users/Hakim/Documents/Boutiques drop/boutique-pipeline/codex-chasse-clusters/registre-candidats.codex.md</x:v>
      </x:c>
    </x:row>
    <x:row r="17" ht="48" customHeight="1">
      <x:c r="A17" s="73" t="str">
        <x:v>VALIDÉ</x:v>
      </x:c>
      <x:c r="B17" s="72" t="n">
        <x:v>2</x:v>
      </x:c>
      <x:c r="C17" s="71" t="str">
        <x:v>f28-home-studio-musique-c01-panneaux-acoustiques-bois</x:v>
      </x:c>
      <x:c r="D17" s="71" t="str">
        <x:v>Kit panneaux acoustiques bois à tasseaux, env. 2,88 m²</x:v>
      </x:c>
      <x:c r="E17" s="71" t="str">
        <x:v>Home studio &amp; musique</x:v>
      </x:c>
      <x:c r="F17" s="72" t="str">
        <x:v>RETENU_MARCHE_A_SOURCER</x:v>
      </x:c>
      <x:c r="G17" s="71" t="str">
        <x:v>Marché qualifié — fournisseur et économie à valider</x:v>
      </x:c>
      <x:c r="H17" s="71" t="str">
        <x:v>≥12 100/mois tête</x:v>
      </x:c>
      <x:c r="I17" s="71" t="str">
        <x:v>199–249 EUR</x:v>
      </x:c>
      <x:c r="J17" s="71" t="str">
        <x:v>0,40–0,60 EUR</x:v>
      </x:c>
      <x:c r="K17" s="71" t="str">
        <x:v>70–85 EUR</x:v>
      </x:c>
      <x:c r="L17" s="71" t="str">
        <x:v>SERP fragmentée ; MPDiscount à 199,99 EUR constitue un plancher sévère</x:v>
      </x:c>
      <x:c r="M17" s="71" t="str">
        <x:v>panneau acoustique bois tasseaux 1200x600x21mm feutre PET lot 4 stock Europe</x:v>
      </x:c>
      <x:c r="N17" s="71" t="str">
        <x:v>wood slat acoustic wall panel 120x60cm PET felt 21mm 4 pack EU warehouse</x:v>
      </x:c>
      <x:c r="O17" s="71" t="str"/>
      <x:c r="P17" s="71" t="str">
        <x:v>reports/dossier-f28-home-studio-musique-f28-home-studio-musique-c01-panneaux-acoustiques-bois-20260720-124517-a1.md</x:v>
      </x:c>
      <x:c r="Q17" s="71" t="str">
        <x:v>Coût cible ≤70–85 EUR ; surface, épaisseur, absorption, feu, émissions, couleur et colis à auditer</x:v>
      </x:c>
      <x:c r="R17" s="71" t="str">
        <x:v>/Users/Hakim/Documents/Boutiques drop/boutique-pipeline/codex-chasse-clusters/registre-candidats.codex.md</x:v>
      </x:c>
    </x:row>
    <x:row r="18" ht="48" customHeight="1">
      <x:c r="A18" s="73" t="str">
        <x:v>VALIDÉ</x:v>
      </x:c>
      <x:c r="B18" s="72" t="n">
        <x:v>3</x:v>
      </x:c>
      <x:c r="C18" s="71" t="str">
        <x:v>f13-apiculture-elevage-c01-poulailler</x:v>
      </x:c>
      <x:c r="D18" s="71" t="str">
        <x:v>Poulailler 4–6 poules avec enclos</x:v>
      </x:c>
      <x:c r="E18" s="71" t="str">
        <x:v>Apiculture &amp; petit élevage</x:v>
      </x:c>
      <x:c r="F18" s="72" t="str">
        <x:v>RETENU_MARCHE_A_SOURCER</x:v>
      </x:c>
      <x:c r="G18" s="71" t="str">
        <x:v>Marché qualifié — fournisseur et économie à valider</x:v>
      </x:c>
      <x:c r="H18" s="71" t="str">
        <x:v>11 700/mois sur capacités</x:v>
      </x:c>
      <x:c r="I18" s="71" t="str">
        <x:v>233,52–590 EUR</x:v>
      </x:c>
      <x:c r="J18" s="71" t="str">
        <x:v>0,19–0,27 EUR</x:v>
      </x:c>
      <x:c r="K18" s="71" t="str">
        <x:v>120–150 EUR</x:v>
      </x:c>
      <x:c r="L18" s="71" t="str">
        <x:v>SERP partagée entre spécialistes et marketplaces</x:v>
      </x:c>
      <x:c r="M18" s="71" t="str">
        <x:v>poulailler bois 4 6 poules avec enclos entrepôt Europe</x:v>
      </x:c>
      <x:c r="N18" s="71" t="str">
        <x:v>wooden chicken coop 4 hens run predator proof EU warehouse</x:v>
      </x:c>
      <x:c r="O18" s="71" t="str"/>
      <x:c r="P18" s="71" t="str">
        <x:v>reports/dossier-f13-apiculture-elevage-f13-apiculture-elevage-c01-poulailler-20260720-124517-a1.md</x:v>
      </x:c>
      <x:c r="Q18" s="71" t="str">
        <x:v>Alerte coût maximale ; bois, dimensions, grillage, colis et retour à contrôler</x:v>
      </x:c>
      <x:c r="R18" s="71" t="str">
        <x:v>/Users/Hakim/Documents/Boutiques drop/boutique-pipeline/codex-chasse-clusters/registre-candidats.codex.md</x:v>
      </x:c>
    </x:row>
    <x:row r="19" ht="48" customHeight="1">
      <x:c r="A19" s="73" t="str">
        <x:v>VALIDÉ</x:v>
      </x:c>
      <x:c r="B19" s="72" t="n">
        <x:v>3</x:v>
      </x:c>
      <x:c r="C19" s="71" t="str">
        <x:v>f21-puericulture-motricite-c01-lit-montessori</x:v>
      </x:c>
      <x:c r="D19" s="71" t="str">
        <x:v>Lit Montessori au sol 90 × 190</x:v>
      </x:c>
      <x:c r="E19" s="71" t="str">
        <x:v>Puériculture &amp; motricité</x:v>
      </x:c>
      <x:c r="F19" s="72" t="str">
        <x:v>RETENU_MARCHE_A_SOURCER</x:v>
      </x:c>
      <x:c r="G19" s="71" t="str">
        <x:v>Marché qualifié — fournisseur et économie à valider</x:v>
      </x:c>
      <x:c r="H19" s="71" t="str">
        <x:v>10 580/mois</x:v>
      </x:c>
      <x:c r="I19" s="71" t="str">
        <x:v>219,99–370 EUR</x:v>
      </x:c>
      <x:c r="J19" s="71" t="str">
        <x:v>0,25–0,37 EUR</x:v>
      </x:c>
      <x:c r="K19" s="71" t="str">
        <x:v>90–110 EUR</x:v>
      </x:c>
      <x:c r="L19" s="71" t="str">
        <x:v>SERP partagée ; TreeTale 1 000+ avis et Smartwood multi-emplacements</x:v>
      </x:c>
      <x:c r="M19" s="71" t="str">
        <x:v>lit montessori 90x190 bois pin barrières sommier entrepôt Europe</x:v>
      </x:c>
      <x:c r="N19" s="71" t="str">
        <x:v>Montessori floor bed 90x190 solid wood slats guardrail EU warehouse</x:v>
      </x:c>
      <x:c r="O19" s="71" t="str"/>
      <x:c r="P19" s="71" t="str">
        <x:v>reports/dossier-f21-puericulture-motricite-f21-puericulture-motricite-c01-lit-montessori-20260720-124517-a1.md</x:v>
      </x:c>
      <x:c r="Q19" s="71" t="str">
        <x:v>Coût cible ≤90–110 EUR ; sécurité enfant, finition, charge, colis et conformité à auditer</x:v>
      </x:c>
      <x:c r="R19" s="71" t="str">
        <x:v>/Users/Hakim/Documents/Boutiques drop/boutique-pipeline/codex-chasse-clusters/registre-candidats.codex.md</x:v>
      </x:c>
    </x:row>
    <x:row r="20" ht="48" customHeight="1">
      <x:c r="A20" s="73" t="str">
        <x:v>VALIDÉ</x:v>
      </x:c>
      <x:c r="B20" s="72" t="n">
        <x:v>3</x:v>
      </x:c>
      <x:c r="C20" s="71" t="str">
        <x:v>f25-fitness-recuperation-c01-bottes-pressotherapie</x:v>
      </x:c>
      <x:c r="D20" s="71" t="str">
        <x:v>Bottes de pressothérapie six chambres</x:v>
      </x:c>
      <x:c r="E20" s="71" t="str">
        <x:v>Fitness &amp; récupération</x:v>
      </x:c>
      <x:c r="F20" s="72" t="str">
        <x:v>RETENU_MARCHE_A_SOURCER</x:v>
      </x:c>
      <x:c r="G20" s="71" t="str">
        <x:v>Marché qualifié — fournisseur et économie à valider</x:v>
      </x:c>
      <x:c r="H20" s="71" t="str">
        <x:v>≥18 700/mois hors marques</x:v>
      </x:c>
      <x:c r="I20" s="71" t="str">
        <x:v>249–350 EUR</x:v>
      </x:c>
      <x:c r="J20" s="71" t="str">
        <x:v>0,49–0,64 EUR</x:v>
      </x:c>
      <x:c r="K20" s="71" t="str">
        <x:v>100–120 EUR</x:v>
      </x:c>
      <x:c r="L20" s="71" t="str">
        <x:v>SERP fragmentée entre Athlonea, Pulsax, Novaa, JOLT, FITEM et spécialistes</x:v>
      </x:c>
      <x:c r="M20" s="71" t="str">
        <x:v>bottes pressotherapie 6 chambres compression sequentielle prise EU entrepot Europe</x:v>
      </x:c>
      <x:c r="N20" s="71" t="str">
        <x:v>air compression recovery boots 6 chambers portable EU plug France</x:v>
      </x:c>
      <x:c r="O20" s="71" t="str"/>
      <x:c r="P20" s="71" t="str">
        <x:v>reports/dossier-f25-fitness-recuperation-f25-fitness-recuperation-c01-bottes-pressotherapie-20260720-124517-a1.md</x:v>
      </x:c>
      <x:c r="Q20" s="71" t="str">
        <x:v>Coût cible ≤100–120 EUR ; qualification réglementaire, allégations, pression, tailles et contre-indications à auditer</x:v>
      </x:c>
      <x:c r="R20" s="71" t="str">
        <x:v>/Users/Hakim/Documents/Boutiques drop/boutique-pipeline/codex-chasse-clusters/registre-candidats.codex.md</x:v>
      </x:c>
    </x:row>
    <x:row r="21" ht="48" customHeight="1">
      <x:c r="A21" s="73" t="str">
        <x:v>VALIDÉ</x:v>
      </x:c>
      <x:c r="B21" s="72" t="n">
        <x:v>3</x:v>
      </x:c>
      <x:c r="C21" s="71" t="str">
        <x:v>f34-velo-mobilite-c01-porte-velos-attelage</x:v>
      </x:c>
      <x:c r="D21" s="71" t="str">
        <x:v>Porte-vélos plateforme d'attelage 3 vélos, inclinable, 13 broches</x:v>
      </x:c>
      <x:c r="E21" s="71" t="str">
        <x:v>Vélo &amp; mobilité douce</x:v>
      </x:c>
      <x:c r="F21" s="72" t="str">
        <x:v>RETENU_MARCHE_A_SOURCER</x:v>
      </x:c>
      <x:c r="G21" s="71" t="str">
        <x:v>Marché qualifié — fournisseur et économie à valider</x:v>
      </x:c>
      <x:c r="H21" s="71" t="str">
        <x:v>18 100/mois</x:v>
      </x:c>
      <x:c r="I21" s="71" t="str">
        <x:v>299–345,99 EUR</x:v>
      </x:c>
      <x:c r="J21" s="71" t="str">
        <x:v>0,16 EUR</x:v>
      </x:c>
      <x:c r="K21" s="71" t="str">
        <x:v>100–120 EUR</x:v>
      </x:c>
      <x:c r="L21" s="71" t="str">
        <x:v>Feu Vert/BuzzRack au plancher ; marques premium à 445–900 EUR</x:v>
      </x:c>
      <x:c r="M21" s="71" t="str">
        <x:v>porte velo attelage 3 velos plateforme inclinable 13 broches stock Europe</x:v>
      </x:c>
      <x:c r="N21" s="71" t="str">
        <x:v>3 bike towbar platform rack tilting 13 pin EU warehouse 50mm ball</x:v>
      </x:c>
      <x:c r="O21" s="71" t="str"/>
      <x:c r="P21" s="71" t="str">
        <x:v>reports/dossier-f34-velo-mobilite-f34-velo-mobilite-c01-porte-velos-attelage-20260720-124517-a1.md</x:v>
      </x:c>
      <x:c r="Q21" s="71" t="str">
        <x:v>Coût cible ≤100–120 EUR ; boule 50 mm, charge, feux/plaque, 13 broches, essais et colis à auditer</x:v>
      </x:c>
      <x:c r="R21" s="71" t="str">
        <x:v>/Users/Hakim/Documents/Boutiques drop/boutique-pipeline/codex-chasse-clusters/registre-candidats.codex.md</x:v>
      </x:c>
    </x:row>
    <x:row r="22" ht="48" customHeight="1">
      <x:c r="A22" s="73" t="str">
        <x:v>VALIDÉ</x:v>
      </x:c>
      <x:c r="B22" s="72" t="n">
        <x:v>3</x:v>
      </x:c>
      <x:c r="C22" s="71" t="str">
        <x:v>f35-domotique-securite-c01-kit-alarme</x:v>
      </x:c>
      <x:c r="D22" s="71" t="str">
        <x:v>Kit alarme maison Wi-Fi + GSM/4G sans abonnement</x:v>
      </x:c>
      <x:c r="E22" s="71" t="str">
        <x:v>Domotique &amp; sécurité</x:v>
      </x:c>
      <x:c r="F22" s="72" t="str">
        <x:v>RETENU_MARCHE_A_SOURCER</x:v>
      </x:c>
      <x:c r="G22" s="71" t="str">
        <x:v>Marché qualifié — fournisseur et économie à valider</x:v>
      </x:c>
      <x:c r="H22" s="71" t="str">
        <x:v>27 100/mois tête</x:v>
      </x:c>
      <x:c r="I22" s="71" t="str">
        <x:v>249,90–380 EUR</x:v>
      </x:c>
      <x:c r="J22" s="71" t="str">
        <x:v>6,40 EUR</x:v>
      </x:c>
      <x:c r="K22" s="71" t="str">
        <x:v>90–110 EUR</x:v>
      </x:c>
      <x:c r="L22" s="71" t="str">
        <x:v>SERP fragmentée entre Homegard, Tike Sécurité, Daewoo et spécialistes</x:v>
      </x:c>
      <x:c r="M22" s="71" t="str">
        <x:v>kit alarme maison wifi gsm 4g sans abonnement sirene exterieure stock Europe</x:v>
      </x:c>
      <x:c r="N22" s="71" t="str">
        <x:v>Tuya alarm system 4G GSM WiFi kit outdoor siren 2 PIR 6 door sensor EU warehouse</x:v>
      </x:c>
      <x:c r="O22" s="71" t="str"/>
      <x:c r="P22" s="71" t="str">
        <x:v>reports/dossier-f35-domotique-securite-f35-domotique-securite-c01-kit-alarme-20260720-124517-a1.md</x:v>
      </x:c>
      <x:c r="Q22" s="71" t="str">
        <x:v>Coût cible ≤90–110 EUR ; bandes 4G, app, local, cloud, RED, cybersécurité, capteurs et SAV à auditer</x:v>
      </x:c>
      <x:c r="R22" s="71" t="str">
        <x:v>/Users/Hakim/Documents/Boutiques drop/boutique-pipeline/codex-chasse-clusters/registre-candidats.codex.md</x:v>
      </x:c>
    </x:row>
    <x:row r="23" ht="48" customHeight="1">
      <x:c r="A23" s="73" t="str">
        <x:v>CREUSÉ</x:v>
      </x:c>
      <x:c r="B23" s="72" t="str"/>
      <x:c r="C23" s="71" t="str">
        <x:v>f03-metal-soudure-c01-poste-souder</x:v>
      </x:c>
      <x:c r="D23" s="71" t="str">
        <x:v>Poste à souder multiprocédé portable</x:v>
      </x:c>
      <x:c r="E23" s="71" t="str">
        <x:v>Travail du métal &amp; soudure</x:v>
      </x:c>
      <x:c r="F23" s="72" t="str">
        <x:v>STOP</x:v>
      </x:c>
      <x:c r="G23" s="71" t="str">
        <x:v>Filtre qualitatif</x:v>
      </x:c>
      <x:c r="H23" s="71" t="str">
        <x:v>11 330/mois bruts prudents et prix 158–323 EUR</x:v>
      </x:c>
      <x:c r="I23" s="71" t="str"/>
      <x:c r="J23" s="71" t="str"/>
      <x:c r="K23" s="71" t="str"/>
      <x:c r="L23" s="71" t="str">
        <x:v>11 330/mois bruts prudents et prix 158–323 EUR, mais marché immédiatement comparable, dominé par marques techniques, VEVOR, vidaXL et GSB</x:v>
      </x:c>
      <x:c r="M23" s="71" t="str"/>
      <x:c r="N23" s="71" t="str"/>
      <x:c r="O23" s="71" t="str"/>
      <x:c r="P23" s="71" t="str">
        <x:v>reports/phase2-f03-metal-soudure-f03-metal-soudure-c01-poste-souder-20260720-124517-a1.md</x:v>
      </x:c>
      <x:c r="Q23" s="71" t="str"/>
      <x:c r="R23" s="71" t="str">
        <x:v>/Users/Hakim/Documents/Boutiques drop/boutique-pipeline/codex-chasse-clusters/registre-candidats.codex.md</x:v>
      </x:c>
    </x:row>
    <x:row r="24" ht="48" customHeight="1">
      <x:c r="A24" s="73" t="str">
        <x:v>CREUSÉ</x:v>
      </x:c>
      <x:c r="B24" s="72" t="str"/>
      <x:c r="C24" s="71" t="str">
        <x:v>f05-impression-decoupe-gravure-c01-imprimante-3d</x:v>
      </x:c>
      <x:c r="D24" s="71" t="str">
        <x:v>Imprimante 3D débutant</x:v>
      </x:c>
      <x:c r="E24" s="71" t="str">
        <x:v>Impression 3D, découpe &amp; gravure</x:v>
      </x:c>
      <x:c r="F24" s="72" t="str">
        <x:v>STOP</x:v>
      </x:c>
      <x:c r="G24" s="71" t="str">
        <x:v>Filtre qualitatif</x:v>
      </x:c>
      <x:c r="H24" s="71" t="str">
        <x:v>Tête commerciale à 74 000/mois</x:v>
      </x:c>
      <x:c r="I24" s="71" t="str"/>
      <x:c r="J24" s="71" t="str"/>
      <x:c r="K24" s="71" t="str"/>
      <x:c r="L24" s="71" t="str">
        <x:v>Tête commerciale à 74 000/mois, mais fabricants directs déjà à 169–309 EUR avec forte preuve sociale ; machine générique indifférenciable et SAV/firmware élevés</x:v>
      </x:c>
      <x:c r="M24" s="71" t="str"/>
      <x:c r="N24" s="71" t="str"/>
      <x:c r="O24" s="71" t="str"/>
      <x:c r="P24" s="71" t="str">
        <x:v>reports/phase2-f05-impression-decoupe-gravure-f05-impression-decoupe-gravure-c01-imprimante-3d-20260720-124517-a1.md</x:v>
      </x:c>
      <x:c r="Q24" s="71" t="str"/>
      <x:c r="R24" s="71" t="str">
        <x:v>/Users/Hakim/Documents/Boutiques drop/boutique-pipeline/codex-chasse-clusters/registre-candidats.codex.md</x:v>
      </x:c>
    </x:row>
    <x:row r="25" ht="48" customHeight="1">
      <x:c r="A25" s="73" t="str">
        <x:v>CREUSÉ</x:v>
      </x:c>
      <x:c r="B25" s="72" t="str"/>
      <x:c r="C25" s="71" t="str">
        <x:v>f05-impression-decoupe-gravure-c02-graveur-laser</x:v>
      </x:c>
      <x:c r="D25" s="71" t="str">
        <x:v>Graveur laser fermé débutant</x:v>
      </x:c>
      <x:c r="E25" s="71" t="str">
        <x:v>Impression 3D, découpe &amp; gravure</x:v>
      </x:c>
      <x:c r="F25" s="72" t="str">
        <x:v>STOP</x:v>
      </x:c>
      <x:c r="G25" s="71" t="str">
        <x:v>Sécurité / prix</x:v>
      </x:c>
      <x:c r="H25" s="71" t="str">
        <x:v>Cluster 12–14,1K</x:v>
      </x:c>
      <x:c r="I25" s="71" t="str"/>
      <x:c r="J25" s="71" t="str"/>
      <x:c r="K25" s="71" t="str"/>
      <x:c r="L25" s="71" t="str">
        <x:v>Cluster 12–14,1K, mais les offres 150–400 EUR ne prouvent pas l'ensemble fermé + Classe 1 + interverrouillage ; le résultat explicitement fermé Classe 1 est à 1 549 EUR</x:v>
      </x:c>
      <x:c r="M25" s="71" t="str"/>
      <x:c r="N25" s="71" t="str"/>
      <x:c r="O25" s="71" t="str"/>
      <x:c r="P25" s="71" t="str">
        <x:v>reports/phase2-f05-impression-decoupe-gravure-f05-impression-decoupe-gravure-c02-graveur-laser-20260720-124517-a1.md</x:v>
      </x:c>
      <x:c r="Q25" s="71" t="str"/>
      <x:c r="R25" s="71" t="str">
        <x:v>/Users/Hakim/Documents/Boutiques drop/boutique-pipeline/codex-chasse-clusters/registre-candidats.codex.md</x:v>
      </x:c>
    </x:row>
    <x:row r="26" ht="48" customHeight="1">
      <x:c r="A26" s="73" t="str">
        <x:v>CREUSÉ</x:v>
      </x:c>
      <x:c r="B26" s="72" t="str"/>
      <x:c r="C26" s="71" t="str">
        <x:v>f08-traitement-air-c02-vmc-double-flux</x:v>
      </x:c>
      <x:c r="D26" s="71" t="str">
        <x:v>VMC double flux</x:v>
      </x:c>
      <x:c r="E26" s="71" t="str">
        <x:v>Traitement de l'air</x:v>
      </x:c>
      <x:c r="F26" s="72" t="str">
        <x:v>STOP</x:v>
      </x:c>
      <x:c r="G26" s="71" t="str">
        <x:v>Prix / installation</x:v>
      </x:c>
      <x:c r="H26" s="71" t="str">
        <x:v>27 100/mois sur le terme exact</x:v>
      </x:c>
      <x:c r="I26" s="71" t="str"/>
      <x:c r="J26" s="71" t="str"/>
      <x:c r="K26" s="71" t="str"/>
      <x:c r="L26" s="71" t="str">
        <x:v>27 100/mois sur le terme exact, mais vrais caissons observés à 950–2 986 EUR avec dimensionnement, gaines, condensats, équilibrage et SAV technique</x:v>
      </x:c>
      <x:c r="M26" s="71" t="str"/>
      <x:c r="N26" s="71" t="str"/>
      <x:c r="O26" s="71" t="str"/>
      <x:c r="P26" s="71" t="str">
        <x:v>reports/phase2-f08-traitement-air-f08-traitement-air-c02-vmc-double-flux-20260720-124517-a1.md</x:v>
      </x:c>
      <x:c r="Q26" s="71" t="str"/>
      <x:c r="R26" s="71" t="str">
        <x:v>/Users/Hakim/Documents/Boutiques drop/boutique-pipeline/codex-chasse-clusters/registre-candidats.codex.md</x:v>
      </x:c>
    </x:row>
    <x:row r="27" ht="48" customHeight="1">
      <x:c r="A27" s="73" t="str">
        <x:v>CREUSÉ</x:v>
      </x:c>
      <x:c r="B27" s="72" t="str"/>
      <x:c r="C27" s="71" t="str">
        <x:v>f09-sommeil-environnement-c01-matelas</x:v>
      </x:c>
      <x:c r="D27" s="71" t="str">
        <x:v>Matelas permanent / gonflable</x:v>
      </x:c>
      <x:c r="E27" s="71" t="str">
        <x:v>Sommeil &amp; environnement nocturne</x:v>
      </x:c>
      <x:c r="F27" s="72" t="str">
        <x:v>STOP</x:v>
      </x:c>
      <x:c r="G27" s="71" t="str">
        <x:v>Prix / concurrence</x:v>
      </x:c>
      <x:c r="H27" s="71" t="str">
        <x:v>74 000/mois sur matelas</x:v>
      </x:c>
      <x:c r="I27" s="71" t="str"/>
      <x:c r="J27" s="71" t="str"/>
      <x:c r="K27" s="71" t="str"/>
      <x:c r="L27" s="71" t="str">
        <x:v>74 000/mois sur matelas, mais 160x200 comparable à 611–1 446 EUR ; gonflable 2 places à 59–115 EUR ; aucune offre comparable dans la cible</x:v>
      </x:c>
      <x:c r="M27" s="71" t="str"/>
      <x:c r="N27" s="71" t="str"/>
      <x:c r="O27" s="71" t="str"/>
      <x:c r="P27" s="71" t="str">
        <x:v>reports/phase2-f09-sommeil-environnement-20260720-124517-a1.md</x:v>
      </x:c>
      <x:c r="Q27" s="71" t="str"/>
      <x:c r="R27" s="71" t="str">
        <x:v>/Users/Hakim/Documents/Boutiques drop/boutique-pipeline/codex-chasse-clusters/registre-candidats.codex.md</x:v>
      </x:c>
    </x:row>
    <x:row r="28" ht="48" customHeight="1">
      <x:c r="A28" s="73" t="str">
        <x:v>CREUSÉ</x:v>
      </x:c>
      <x:c r="B28" s="72" t="str"/>
      <x:c r="C28" s="71" t="str">
        <x:v>f09-sommeil-environnement-c02-rideau-technique</x:v>
      </x:c>
      <x:c r="D28" s="71" t="str">
        <x:v>Rideau phonique, thermique et occultant</x:v>
      </x:c>
      <x:c r="E28" s="71" t="str">
        <x:v>Sommeil &amp; environnement nocturne</x:v>
      </x:c>
      <x:c r="F28" s="72" t="str">
        <x:v>STOP</x:v>
      </x:c>
      <x:c r="G28" s="71" t="str">
        <x:v>Concurrence / preuve</x:v>
      </x:c>
      <x:c r="H28" s="71" t="str">
        <x:v>13 500/mois minimum sur thermique</x:v>
      </x:c>
      <x:c r="I28" s="71" t="str"/>
      <x:c r="J28" s="71" t="str"/>
      <x:c r="K28" s="71" t="str"/>
      <x:c r="L28" s="71" t="str">
        <x:v>13 500/mois minimum sur thermique, mais rangée Shopping presque entièrement occupée par Moondream à 116–206 EUR avec 293 avis ; performance acoustique à prouver</x:v>
      </x:c>
      <x:c r="M28" s="71" t="str"/>
      <x:c r="N28" s="71" t="str"/>
      <x:c r="O28" s="71" t="str"/>
      <x:c r="P28" s="71" t="str">
        <x:v>reports/phase2-f09-sommeil-environnement-20260720-124517-a1.md</x:v>
      </x:c>
      <x:c r="Q28" s="71" t="str"/>
      <x:c r="R28" s="71" t="str">
        <x:v>/Users/Hakim/Documents/Boutiques drop/boutique-pipeline/codex-chasse-clusters/registre-candidats.codex.md</x:v>
      </x:c>
    </x:row>
    <x:row r="29" ht="48" customHeight="1">
      <x:c r="A29" s="73" t="str">
        <x:v>CREUSÉ</x:v>
      </x:c>
      <x:c r="B29" s="72" t="str"/>
      <x:c r="C29" s="71" t="str">
        <x:v>f09-sommeil-environnement-c03-couverture-lestee</x:v>
      </x:c>
      <x:c r="D29" s="71" t="str">
        <x:v>Couverture lestée adulte</x:v>
      </x:c>
      <x:c r="E29" s="71" t="str">
        <x:v>Sommeil &amp; environnement nocturne</x:v>
      </x:c>
      <x:c r="F29" s="72" t="str">
        <x:v>STOP</x:v>
      </x:c>
      <x:c r="G29" s="71" t="str">
        <x:v>Prix / logistique</x:v>
      </x:c>
      <x:c r="H29" s="71" t="str">
        <x:v>27 100/mois</x:v>
      </x:c>
      <x:c r="I29" s="71" t="str"/>
      <x:c r="J29" s="71" t="str"/>
      <x:c r="K29" s="71" t="str"/>
      <x:c r="L29" s="71" t="str">
        <x:v>27 100/mois, mais offre dominante à 69–120 EUR, poids élevé et recherches de sécurité explicites</x:v>
      </x:c>
      <x:c r="M29" s="71" t="str"/>
      <x:c r="N29" s="71" t="str"/>
      <x:c r="O29" s="71" t="str"/>
      <x:c r="P29" s="71" t="str">
        <x:v>reports/phase2-f09-sommeil-environnement-20260720-124517-a1.md</x:v>
      </x:c>
      <x:c r="Q29" s="71" t="str"/>
      <x:c r="R29" s="71" t="str">
        <x:v>/Users/Hakim/Documents/Boutiques drop/boutique-pipeline/codex-chasse-clusters/registre-candidats.codex.md</x:v>
      </x:c>
    </x:row>
    <x:row r="30" ht="48" customHeight="1">
      <x:c r="A30" s="73" t="str">
        <x:v>CREUSÉ</x:v>
      </x:c>
      <x:c r="B30" s="72" t="str"/>
      <x:c r="C30" s="71" t="str">
        <x:v>f10-climat-humidite-c02-climatiseur-mobile</x:v>
      </x:c>
      <x:c r="D30" s="71" t="str">
        <x:v>Climatiseur mobile 12 000 BTU</x:v>
      </x:c>
      <x:c r="E30" s="71" t="str">
        <x:v>Chauffage, climatisation &amp; humidité</x:v>
      </x:c>
      <x:c r="F30" s="72" t="str">
        <x:v>STOP</x:v>
      </x:c>
      <x:c r="G30" s="71" t="str">
        <x:v>Logistique / réglementation</x:v>
      </x:c>
      <x:c r="H30" s="71" t="str">
        <x:v>165 000/mois</x:v>
      </x:c>
      <x:c r="I30" s="71" t="str"/>
      <x:c r="J30" s="71" t="str"/>
      <x:c r="K30" s="71" t="str"/>
      <x:c r="L30" s="71" t="str">
        <x:v>165 000/mois, mais saisonnalité extrême, retours bruit/évacuation, produit lourd, fluides/énergie et Leroy Merlin/Amazon visibles</x:v>
      </x:c>
      <x:c r="M30" s="71" t="str"/>
      <x:c r="N30" s="71" t="str"/>
      <x:c r="O30" s="71" t="str"/>
      <x:c r="P30" s="71" t="str">
        <x:v>reports/phase2-f10-climat-humidite-20260720-124517-a1.md</x:v>
      </x:c>
      <x:c r="Q30" s="71" t="str"/>
      <x:c r="R30" s="71" t="str">
        <x:v>/Users/Hakim/Documents/Boutiques drop/boutique-pipeline/codex-chasse-clusters/registre-candidats.codex.md</x:v>
      </x:c>
    </x:row>
    <x:row r="31" ht="48" customHeight="1">
      <x:c r="A31" s="73" t="str">
        <x:v>CREUSÉ</x:v>
      </x:c>
      <x:c r="B31" s="72" t="str"/>
      <x:c r="C31" s="71" t="str">
        <x:v>f10-climat-humidite-c03-humidificateur-air</x:v>
      </x:c>
      <x:c r="D31" s="71" t="str">
        <x:v>Humidificateur grande pièce 6 L</x:v>
      </x:c>
      <x:c r="E31" s="71" t="str">
        <x:v>Chauffage, climatisation &amp; humidité</x:v>
      </x:c>
      <x:c r="F31" s="72" t="str">
        <x:v>STOP</x:v>
      </x:c>
      <x:c r="G31" s="71" t="str">
        <x:v>Prix</x:v>
      </x:c>
      <x:c r="H31" s="71" t="str">
        <x:v>27 100/mois</x:v>
      </x:c>
      <x:c r="I31" s="71" t="str"/>
      <x:c r="J31" s="71" t="str"/>
      <x:c r="K31" s="71" t="str"/>
      <x:c r="L31" s="71" t="str">
        <x:v>27 100/mois, mais unité comparable surtout à 59–99 EUR ; pack de deux à 197 EUR non comparable</x:v>
      </x:c>
      <x:c r="M31" s="71" t="str"/>
      <x:c r="N31" s="71" t="str"/>
      <x:c r="O31" s="71" t="str"/>
      <x:c r="P31" s="71" t="str">
        <x:v>reports/phase2-f10-climat-humidite-20260720-124517-a1.md</x:v>
      </x:c>
      <x:c r="Q31" s="71" t="str"/>
      <x:c r="R31" s="71" t="str">
        <x:v>/Users/Hakim/Documents/Boutiques drop/boutique-pipeline/codex-chasse-clusters/registre-candidats.codex.md</x:v>
      </x:c>
    </x:row>
    <x:row r="32" ht="48" customHeight="1">
      <x:c r="A32" s="73" t="str">
        <x:v>CREUSÉ</x:v>
      </x:c>
      <x:c r="B32" s="72" t="str"/>
      <x:c r="C32" s="71" t="str">
        <x:v>f10-climat-humidite-c04-poele-granules</x:v>
      </x:c>
      <x:c r="D32" s="71" t="str">
        <x:v>Poêle à granulés 8 kW</x:v>
      </x:c>
      <x:c r="E32" s="71" t="str">
        <x:v>Chauffage, climatisation &amp; humidité</x:v>
      </x:c>
      <x:c r="F32" s="72" t="str">
        <x:v>STOP</x:v>
      </x:c>
      <x:c r="G32" s="71" t="str">
        <x:v>Prix / installation</x:v>
      </x:c>
      <x:c r="H32" s="71" t="str">
        <x:v>18 100/mois</x:v>
      </x:c>
      <x:c r="I32" s="71" t="str"/>
      <x:c r="J32" s="71" t="str"/>
      <x:c r="K32" s="71" t="str"/>
      <x:c r="L32" s="71" t="str">
        <x:v>18 100/mois, mais offres à 648–2 471 EUR avec combustion, évacuation et installation</x:v>
      </x:c>
      <x:c r="M32" s="71" t="str"/>
      <x:c r="N32" s="71" t="str"/>
      <x:c r="O32" s="71" t="str"/>
      <x:c r="P32" s="71" t="str">
        <x:v>reports/phase2-f10-climat-humidite-20260720-124517-a1.md</x:v>
      </x:c>
      <x:c r="Q32" s="71" t="str"/>
      <x:c r="R32" s="71" t="str">
        <x:v>/Users/Hakim/Documents/Boutiques drop/boutique-pipeline/codex-chasse-clusters/registre-candidats.codex.md</x:v>
      </x:c>
    </x:row>
    <x:row r="33" ht="48" customHeight="1">
      <x:c r="A33" s="73" t="str">
        <x:v>CREUSÉ</x:v>
      </x:c>
      <x:c r="B33" s="72" t="str"/>
      <x:c r="C33" s="71" t="str">
        <x:v>f11-animalerie-c02-remorque-velo-chien</x:v>
      </x:c>
      <x:c r="D33" s="71" t="str">
        <x:v>Remorque vélo pour chien</x:v>
      </x:c>
      <x:c r="E33" s="71" t="str">
        <x:v>Animalerie équipement</x:v>
      </x:c>
      <x:c r="F33" s="72" t="str">
        <x:v>STOP</x:v>
      </x:c>
      <x:c r="G33" s="71" t="str">
        <x:v>Prix / sous-segment</x:v>
      </x:c>
      <x:c r="H33" s="71" t="str">
        <x:v>11 500/mois prudents</x:v>
      </x:c>
      <x:c r="I33" s="71" t="str"/>
      <x:c r="J33" s="71" t="str"/>
      <x:c r="K33" s="71" t="str"/>
      <x:c r="L33" s="71" t="str">
        <x:v>11 500/mois prudents, mais cœur du marché à 115–159 EUR ; volume du sous-segment XL à 250+ non établi</x:v>
      </x:c>
      <x:c r="M33" s="71" t="str"/>
      <x:c r="N33" s="71" t="str"/>
      <x:c r="O33" s="71" t="str"/>
      <x:c r="P33" s="71" t="str">
        <x:v>reports/phase2-f11-animalerie-20260720-124517-a1.md</x:v>
      </x:c>
      <x:c r="Q33" s="71" t="str"/>
      <x:c r="R33" s="71" t="str">
        <x:v>/Users/Hakim/Documents/Boutiques drop/boutique-pipeline/codex-chasse-clusters/registre-candidats.codex.md</x:v>
      </x:c>
    </x:row>
    <x:row r="34" ht="48" customHeight="1">
      <x:c r="A34" s="73" t="str">
        <x:v>CREUSÉ</x:v>
      </x:c>
      <x:c r="B34" s="72" t="str"/>
      <x:c r="C34" s="71" t="str">
        <x:v>f11-animalerie-c03-collier-gps-chien</x:v>
      </x:c>
      <x:c r="D34" s="71" t="str">
        <x:v>Collier GPS chien</x:v>
      </x:c>
      <x:c r="E34" s="71" t="str">
        <x:v>Animalerie équipement</x:v>
      </x:c>
      <x:c r="F34" s="72" t="str">
        <x:v>STOP</x:v>
      </x:c>
      <x:c r="G34" s="71" t="str">
        <x:v>Prix / service</x:v>
      </x:c>
      <x:c r="H34" s="71" t="str">
        <x:v>&gt;14 500/mois</x:v>
      </x:c>
      <x:c r="I34" s="71" t="str"/>
      <x:c r="J34" s="71" t="str"/>
      <x:c r="K34" s="71" t="str"/>
      <x:c r="L34" s="71" t="str">
        <x:v>&gt;14 500/mois, mais Tractive/Weenect à 48–124 EUR avec forte preuve sociale, application et abonnement ; SAV/data élevés</x:v>
      </x:c>
      <x:c r="M34" s="71" t="str"/>
      <x:c r="N34" s="71" t="str"/>
      <x:c r="O34" s="71" t="str"/>
      <x:c r="P34" s="71" t="str">
        <x:v>reports/phase2-f11-animalerie-20260720-124517-a1.md</x:v>
      </x:c>
      <x:c r="Q34" s="71" t="str"/>
      <x:c r="R34" s="71" t="str">
        <x:v>/Users/Hakim/Documents/Boutiques drop/boutique-pipeline/codex-chasse-clusters/registre-candidats.codex.md</x:v>
      </x:c>
    </x:row>
    <x:row r="35" ht="48" customHeight="1">
      <x:c r="A35" s="73" t="str">
        <x:v>CREUSÉ</x:v>
      </x:c>
      <x:c r="B35" s="72" t="str"/>
      <x:c r="C35" s="71" t="str">
        <x:v>f14-jardin-potager-c01-serre-tunnel</x:v>
      </x:c>
      <x:c r="D35" s="71" t="str">
        <x:v>Serre tunnel 18 m²</x:v>
      </x:c>
      <x:c r="E35" s="71" t="str">
        <x:v>Jardin technique &amp; potager</x:v>
      </x:c>
      <x:c r="F35" s="72" t="str">
        <x:v>STOP</x:v>
      </x:c>
      <x:c r="G35" s="71" t="str">
        <x:v>Prix / concurrence</x:v>
      </x:c>
      <x:c r="H35" s="71" t="str">
        <x:v>16 970/mois</x:v>
      </x:c>
      <x:c r="I35" s="71" t="str"/>
      <x:c r="J35" s="71" t="str"/>
      <x:c r="K35" s="71" t="str"/>
      <x:c r="L35" s="71" t="str">
        <x:v>16 970/mois, mais VEVOR à 149,90 EUR avec 748 avis et OO Garden à 109,90–124,99 EUR ; logistique/vent élevés</x:v>
      </x:c>
      <x:c r="M35" s="71" t="str"/>
      <x:c r="N35" s="71" t="str"/>
      <x:c r="O35" s="71" t="str"/>
      <x:c r="P35" s="71" t="str">
        <x:v>reports/phase2-f14-jardin-potager-20260720-124517-a1.md</x:v>
      </x:c>
      <x:c r="Q35" s="71" t="str"/>
      <x:c r="R35" s="71" t="str">
        <x:v>/Users/Hakim/Documents/Boutiques drop/boutique-pipeline/codex-chasse-clusters/registre-candidats.codex.md</x:v>
      </x:c>
    </x:row>
    <x:row r="36" ht="48" customHeight="1">
      <x:c r="A36" s="73" t="str">
        <x:v>CREUSÉ</x:v>
      </x:c>
      <x:c r="B36" s="72" t="str"/>
      <x:c r="C36" s="71" t="str">
        <x:v>f14-jardin-potager-c02-potager-sureleve</x:v>
      </x:c>
      <x:c r="D36" s="71" t="str">
        <x:v>Potager surélevé acier</x:v>
      </x:c>
      <x:c r="E36" s="71" t="str">
        <x:v>Jardin technique &amp; potager</x:v>
      </x:c>
      <x:c r="F36" s="72" t="str">
        <x:v>STOP</x:v>
      </x:c>
      <x:c r="G36" s="71" t="str">
        <x:v>Prix / concurrence</x:v>
      </x:c>
      <x:c r="H36" s="71" t="str">
        <x:v>16 740/mois</x:v>
      </x:c>
      <x:c r="I36" s="71" t="str"/>
      <x:c r="J36" s="71" t="str"/>
      <x:c r="K36" s="71" t="str"/>
      <x:c r="L36" s="71" t="str">
        <x:v>16 740/mois, mais vidaXL à 155,99 EUR avec 1 000+ avis, VEVOR 78,99 EUR, AliExpress 145,69 EUR</x:v>
      </x:c>
      <x:c r="M36" s="71" t="str"/>
      <x:c r="N36" s="71" t="str"/>
      <x:c r="O36" s="71" t="str"/>
      <x:c r="P36" s="71" t="str">
        <x:v>reports/phase2-f14-jardin-potager-20260720-124517-a1.md</x:v>
      </x:c>
      <x:c r="Q36" s="71" t="str"/>
      <x:c r="R36" s="71" t="str">
        <x:v>/Users/Hakim/Documents/Boutiques drop/boutique-pipeline/codex-chasse-clusters/registre-candidats.codex.md</x:v>
      </x:c>
    </x:row>
    <x:row r="37" ht="48" customHeight="1">
      <x:c r="A37" s="73" t="str">
        <x:v>CREUSÉ</x:v>
      </x:c>
      <x:c r="B37" s="72" t="str"/>
      <x:c r="C37" s="71" t="str">
        <x:v>f14-jardin-potager-c03-arrosage-automatique</x:v>
      </x:c>
      <x:c r="D37" s="71" t="str">
        <x:v>Kit arrosage automatique</x:v>
      </x:c>
      <x:c r="E37" s="71" t="str">
        <x:v>Jardin technique &amp; potager</x:v>
      </x:c>
      <x:c r="F37" s="72" t="str">
        <x:v>STOP</x:v>
      </x:c>
      <x:c r="G37" s="71" t="str">
        <x:v>Prix / sous-segment</x:v>
      </x:c>
      <x:c r="H37" s="71" t="str">
        <x:v>14 800/mois sur la tête</x:v>
      </x:c>
      <x:c r="I37" s="71" t="str"/>
      <x:c r="J37" s="71" t="str"/>
      <x:c r="K37" s="71" t="str"/>
      <x:c r="L37" s="71" t="str">
        <x:v>14 800/mois sur la tête, mais kits standards à 62–100 EUR ; produits à 299+ non comparables</x:v>
      </x:c>
      <x:c r="M37" s="71" t="str"/>
      <x:c r="N37" s="71" t="str"/>
      <x:c r="O37" s="71" t="str"/>
      <x:c r="P37" s="71" t="str">
        <x:v>reports/phase2-f14-jardin-potager-20260720-124517-a1.md</x:v>
      </x:c>
      <x:c r="Q37" s="71" t="str"/>
      <x:c r="R37" s="71" t="str">
        <x:v>/Users/Hakim/Documents/Boutiques drop/boutique-pipeline/codex-chasse-clusters/registre-candidats.codex.md</x:v>
      </x:c>
    </x:row>
    <x:row r="38" ht="48" customHeight="1">
      <x:c r="A38" s="73" t="str">
        <x:v>CREUSÉ</x:v>
      </x:c>
      <x:c r="B38" s="72" t="str"/>
      <x:c r="C38" s="71" t="str">
        <x:v>f15-piscine-spa-c01-robot-piscine-sans-fil</x:v>
      </x:c>
      <x:c r="D38" s="71" t="str">
        <x:v>Robot piscine sans fil fond et parois</x:v>
      </x:c>
      <x:c r="E38" s="71" t="str">
        <x:v>Piscine &amp; spa</x:v>
      </x:c>
      <x:c r="F38" s="72" t="str">
        <x:v>STOP</x:v>
      </x:c>
      <x:c r="G38" s="71" t="str">
        <x:v>Concurrence / SAV</x:v>
      </x:c>
      <x:c r="H38" s="71" t="str">
        <x:v>14 800/mois sur la tête</x:v>
      </x:c>
      <x:c r="I38" s="71" t="str"/>
      <x:c r="J38" s="71" t="str"/>
      <x:c r="K38" s="71" t="str"/>
      <x:c r="L38" s="71" t="str">
        <x:v>14 800/mois sur la tête, mais rangée dominée par Aiper/Beatbot à forte preuve ; batterie, étanchéité, navigation et retours lourds</x:v>
      </x:c>
      <x:c r="M38" s="71" t="str"/>
      <x:c r="N38" s="71" t="str"/>
      <x:c r="O38" s="71" t="str"/>
      <x:c r="P38" s="71" t="str">
        <x:v>reports/phase2-f15-piscine-spa-20260720-124517-a1.md</x:v>
      </x:c>
      <x:c r="Q38" s="71" t="str"/>
      <x:c r="R38" s="71" t="str">
        <x:v>/Users/Hakim/Documents/Boutiques drop/boutique-pipeline/codex-chasse-clusters/registre-candidats.codex.md</x:v>
      </x:c>
    </x:row>
    <x:row r="39" ht="48" customHeight="1">
      <x:c r="A39" s="73" t="str">
        <x:v>CREUSÉ</x:v>
      </x:c>
      <x:c r="B39" s="72" t="str"/>
      <x:c r="C39" s="71" t="str">
        <x:v>f15-piscine-spa-c02-spa-gonflable-4-places</x:v>
      </x:c>
      <x:c r="D39" s="71" t="str">
        <x:v>Spa gonflable quatre places</x:v>
      </x:c>
      <x:c r="E39" s="71" t="str">
        <x:v>Piscine &amp; spa</x:v>
      </x:c>
      <x:c r="F39" s="72" t="str">
        <x:v>STOP</x:v>
      </x:c>
      <x:c r="G39" s="71" t="str">
        <x:v>Volume / concurrence</x:v>
      </x:c>
      <x:c r="H39" s="71" t="str">
        <x:v>6 990/mois prudents hors marques ; SERP comparable dominée par Intex</x:v>
      </x:c>
      <x:c r="I39" s="71" t="str"/>
      <x:c r="J39" s="71" t="str"/>
      <x:c r="K39" s="71" t="str"/>
      <x:c r="L39" s="71" t="str">
        <x:v>6 990/mois prudents hors marques ; SERP comparable dominée par Intex, Bestway et Arebos</x:v>
      </x:c>
      <x:c r="M39" s="71" t="str"/>
      <x:c r="N39" s="71" t="str"/>
      <x:c r="O39" s="71" t="str"/>
      <x:c r="P39" s="71" t="str">
        <x:v>reports/phase2-f15-piscine-spa-20260720-124517-a1.md</x:v>
      </x:c>
      <x:c r="Q39" s="71" t="str"/>
      <x:c r="R39" s="71" t="str">
        <x:v>/Users/Hakim/Documents/Boutiques drop/boutique-pipeline/codex-chasse-clusters/registre-candidats.codex.md</x:v>
      </x:c>
    </x:row>
    <x:row r="40" ht="48" customHeight="1">
      <x:c r="A40" s="73" t="str">
        <x:v>CREUSÉ</x:v>
      </x:c>
      <x:c r="B40" s="72" t="str"/>
      <x:c r="C40" s="71" t="str">
        <x:v>f17-ceramique-c01-tour-potier</x:v>
      </x:c>
      <x:c r="D40" s="71" t="str">
        <x:v>Tour de potier électrique adulte</x:v>
      </x:c>
      <x:c r="E40" s="71" t="str">
        <x:v>Céramique &amp; émaillage</x:v>
      </x:c>
      <x:c r="F40" s="72" t="str">
        <x:v>STOP</x:v>
      </x:c>
      <x:c r="G40" s="71" t="str">
        <x:v>Prix / concurrence</x:v>
      </x:c>
      <x:c r="H40" s="71" t="str">
        <x:v>Environ 11 300–11 800/mois</x:v>
      </x:c>
      <x:c r="I40" s="71" t="str"/>
      <x:c r="J40" s="71" t="str"/>
      <x:c r="K40" s="71" t="str"/>
      <x:c r="L40" s="71" t="str">
        <x:v>Environ 11 300–11 800/mois, mais VEVOR vend déjà à 150,99–155,99 EUR avec 175–202 avis ; spécialistes à 900+ non comparables</x:v>
      </x:c>
      <x:c r="M40" s="71" t="str"/>
      <x:c r="N40" s="71" t="str"/>
      <x:c r="O40" s="71" t="str"/>
      <x:c r="P40" s="71" t="str">
        <x:v>reports/phase2-f17-ceramique-20260720-124517-a1.md</x:v>
      </x:c>
      <x:c r="Q40" s="71" t="str"/>
      <x:c r="R40" s="71" t="str">
        <x:v>/Users/Hakim/Documents/Boutiques drop/boutique-pipeline/codex-chasse-clusters/registre-candidats.codex.md</x:v>
      </x:c>
    </x:row>
    <x:row r="41" ht="48" customHeight="1">
      <x:c r="A41" s="73" t="str">
        <x:v>CREUSÉ</x:v>
      </x:c>
      <x:c r="B41" s="72" t="str"/>
      <x:c r="C41" s="71" t="str">
        <x:v>f19-textile-couture-c01-machine-coudre</x:v>
      </x:c>
      <x:c r="D41" s="71" t="str">
        <x:v>Machine à coudre électronique</x:v>
      </x:c>
      <x:c r="E41" s="71" t="str">
        <x:v>Textile, couture &amp; tissage</x:v>
      </x:c>
      <x:c r="F41" s="72" t="str">
        <x:v>STOP</x:v>
      </x:c>
      <x:c r="G41" s="71" t="str">
        <x:v>Marques / indifférenciation</x:v>
      </x:c>
      <x:c r="H41" s="71" t="str">
        <x:v>12 100/mois sur la tête</x:v>
      </x:c>
      <x:c r="I41" s="71" t="str"/>
      <x:c r="J41" s="71" t="str"/>
      <x:c r="K41" s="71" t="str"/>
      <x:c r="L41" s="71" t="str">
        <x:v>12 100/mois sur la tête, mais Singer, Brother, Janome, Pfaff, Necchi et Lidl structurent la SERP et le SAV</x:v>
      </x:c>
      <x:c r="M41" s="71" t="str"/>
      <x:c r="N41" s="71" t="str"/>
      <x:c r="O41" s="71" t="str"/>
      <x:c r="P41" s="71" t="str">
        <x:v>reports/phase2-f19-textile-couture-20260720-124517-a1.md</x:v>
      </x:c>
      <x:c r="Q41" s="71" t="str"/>
      <x:c r="R41" s="71" t="str">
        <x:v>/Users/Hakim/Documents/Boutiques drop/boutique-pipeline/codex-chasse-clusters/registre-candidats.codex.md</x:v>
      </x:c>
    </x:row>
    <x:row r="42" ht="48" customHeight="1">
      <x:c r="A42" s="73" t="str">
        <x:v>CREUSÉ</x:v>
      </x:c>
      <x:c r="B42" s="72" t="str"/>
      <x:c r="C42" s="71" t="str">
        <x:v>f22-cuisine-semi-pro-c01-trancheuse-jambon</x:v>
      </x:c>
      <x:c r="D42" s="71" t="str">
        <x:v>Trancheuse à jambon</x:v>
      </x:c>
      <x:c r="E42" s="71" t="str">
        <x:v>Cuisine semi-professionnelle</x:v>
      </x:c>
      <x:c r="F42" s="72" t="str">
        <x:v>STOP</x:v>
      </x:c>
      <x:c r="G42" s="71" t="str">
        <x:v>Concurrence / sécurité</x:v>
      </x:c>
      <x:c r="H42" s="71" t="str">
        <x:v>17 660/mois</x:v>
      </x:c>
      <x:c r="I42" s="71" t="str"/>
      <x:c r="J42" s="71" t="str"/>
      <x:c r="K42" s="71" t="str"/>
      <x:c r="L42" s="71" t="str">
        <x:v>17 660/mois, mais Fourniresto occupe presque toute la rangée à 211–392 EUR avec jusqu'à 253 avis ; lame, contact alimentaire et SAV</x:v>
      </x:c>
      <x:c r="M42" s="71" t="str"/>
      <x:c r="N42" s="71" t="str"/>
      <x:c r="O42" s="71" t="str"/>
      <x:c r="P42" s="71" t="str">
        <x:v>reports/phase2-f22-cuisine-semi-pro-20260720-124517-a1.md</x:v>
      </x:c>
      <x:c r="Q42" s="71" t="str"/>
      <x:c r="R42" s="71" t="str">
        <x:v>/Users/Hakim/Documents/Boutiques drop/boutique-pipeline/codex-chasse-clusters/registre-candidats.codex.md</x:v>
      </x:c>
    </x:row>
    <x:row r="43" ht="48" customHeight="1">
      <x:c r="A43" s="73" t="str">
        <x:v>CREUSÉ</x:v>
      </x:c>
      <x:c r="B43" s="72" t="str"/>
      <x:c r="C43" s="71" t="str">
        <x:v>f23-brassage-conservation-c02-tireuse-biere</x:v>
      </x:c>
      <x:c r="D43" s="71" t="str">
        <x:v>Tireuse à bière 5 L</x:v>
      </x:c>
      <x:c r="E43" s="71" t="str">
        <x:v>Brassage, fermentation &amp; conservation</x:v>
      </x:c>
      <x:c r="F43" s="72" t="str">
        <x:v>STOP</x:v>
      </x:c>
      <x:c r="G43" s="71" t="str">
        <x:v>Marques / prix</x:v>
      </x:c>
      <x:c r="H43" s="71" t="str">
        <x:v>Environ 10 140/mois en mélangeant domestique/pro</x:v>
      </x:c>
      <x:c r="I43" s="71" t="str"/>
      <x:c r="J43" s="71" t="str"/>
      <x:c r="K43" s="71" t="str"/>
      <x:c r="L43" s="71" t="str">
        <x:v>Environ 10 140/mois en mélangeant domestique/pro, mais Philips/Krups/Klarstein à 150–260 EUR avec 92–127 avis et génériques à 90–120 EUR</x:v>
      </x:c>
      <x:c r="M43" s="71" t="str"/>
      <x:c r="N43" s="71" t="str"/>
      <x:c r="O43" s="71" t="str"/>
      <x:c r="P43" s="71" t="str">
        <x:v>reports/phase2-f23-brassage-conservation-20260720-124517-a1.md</x:v>
      </x:c>
      <x:c r="Q43" s="71" t="str"/>
      <x:c r="R43" s="71" t="str">
        <x:v>/Users/Hakim/Documents/Boutiques drop/boutique-pipeline/codex-chasse-clusters/registre-candidats.codex.md</x:v>
      </x:c>
    </x:row>
    <x:row r="44" ht="48" customHeight="1">
      <x:c r="A44" s="73" t="str">
        <x:v>CREUSÉ</x:v>
      </x:c>
      <x:c r="B44" s="72" t="str"/>
      <x:c r="C44" s="71" t="str">
        <x:v>f25-fitness-recuperation-c02-tapis-course-pliable</x:v>
      </x:c>
      <x:c r="D44" s="71" t="str">
        <x:v>Tapis de course pliable inclinable</x:v>
      </x:c>
      <x:c r="E44" s="71" t="str">
        <x:v>Fitness &amp; récupération</x:v>
      </x:c>
      <x:c r="F44" s="72" t="str">
        <x:v>STOP</x:v>
      </x:c>
      <x:c r="G44" s="71" t="str">
        <x:v>Concurrence / logistique / SAV</x:v>
      </x:c>
      <x:c r="H44" s="71" t="str">
        <x:v>18 100/mois sur la tête</x:v>
      </x:c>
      <x:c r="I44" s="71" t="str"/>
      <x:c r="J44" s="71" t="str"/>
      <x:c r="K44" s="71" t="str"/>
      <x:c r="L44" s="71" t="str">
        <x:v>18 100/mois sur la tête, mais offres à 179,99–189,99 EUR avec 360 avis et spécialistes très établis ; poids, moteur, bande et retours lourds</x:v>
      </x:c>
      <x:c r="M44" s="71" t="str"/>
      <x:c r="N44" s="71" t="str"/>
      <x:c r="O44" s="71" t="str"/>
      <x:c r="P44" s="71" t="str">
        <x:v>reports/phase2-f25-fitness-recuperation-20260720-124517-a1.md</x:v>
      </x:c>
      <x:c r="Q44" s="71" t="str"/>
      <x:c r="R44" s="71" t="str">
        <x:v>/Users/Hakim/Documents/Boutiques drop/boutique-pipeline/codex-chasse-clusters/registre-candidats.codex.md</x:v>
      </x:c>
    </x:row>
    <x:row r="45" ht="48" customHeight="1">
      <x:c r="A45" s="73" t="str">
        <x:v>CREUSÉ</x:v>
      </x:c>
      <x:c r="B45" s="72" t="str"/>
      <x:c r="C45" s="71" t="str">
        <x:v>f26-bien-etre-materiel-c01-sauna-infrarouge</x:v>
      </x:c>
      <x:c r="D45" s="71" t="str">
        <x:v>Sauna infrarouge une place</x:v>
      </x:c>
      <x:c r="E45" s="71" t="str">
        <x:v>Bien-être matériel</x:v>
      </x:c>
      <x:c r="F45" s="72" t="str">
        <x:v>STOP</x:v>
      </x:c>
      <x:c r="G45" s="71" t="str">
        <x:v>Volume / prix / logistique</x:v>
      </x:c>
      <x:c r="H45" s="71" t="str">
        <x:v>Environ 8 840/mois sur formulations produit visibles ; vraies cabines à 959–1 744 EUR livré</x:v>
      </x:c>
      <x:c r="I45" s="71" t="str"/>
      <x:c r="J45" s="71" t="str"/>
      <x:c r="K45" s="71" t="str"/>
      <x:c r="L45" s="71" t="str">
        <x:v>Environ 8 840/mois sur formulations produit visibles ; vraies cabines à 959–1 744 EUR livré, haut de gamme 5 999 EUR</x:v>
      </x:c>
      <x:c r="M45" s="71" t="str"/>
      <x:c r="N45" s="71" t="str"/>
      <x:c r="O45" s="71" t="str"/>
      <x:c r="P45" s="71" t="str">
        <x:v>reports/phase2-f26-bien-etre-materiel-20260720-124517-a1.md</x:v>
      </x:c>
      <x:c r="Q45" s="71" t="str"/>
      <x:c r="R45" s="71" t="str">
        <x:v>/Users/Hakim/Documents/Boutiques drop/boutique-pipeline/codex-chasse-clusters/registre-candidats.codex.md</x:v>
      </x:c>
    </x:row>
    <x:row r="46" ht="48" customHeight="1">
      <x:c r="A46" s="73" t="str">
        <x:v>CREUSÉ</x:v>
      </x:c>
      <x:c r="B46" s="72" t="str"/>
      <x:c r="C46" s="71" t="str">
        <x:v>f28-home-studio-musique-c02-piano-numerique</x:v>
      </x:c>
      <x:c r="D46" s="71" t="str">
        <x:v>Piano numérique 88 touches débutant</x:v>
      </x:c>
      <x:c r="E46" s="71" t="str">
        <x:v>Home studio &amp; musique</x:v>
      </x:c>
      <x:c r="F46" s="72" t="str">
        <x:v>STOP</x:v>
      </x:c>
      <x:c r="G46" s="71" t="str">
        <x:v>Concurrence / coût / SAV</x:v>
      </x:c>
      <x:c r="H46" s="71" t="str">
        <x:v>Environ 9 880/mois sur génériques visibles avant longue traîne ; Donner</x:v>
      </x:c>
      <x:c r="I46" s="71" t="str"/>
      <x:c r="J46" s="71" t="str"/>
      <x:c r="K46" s="71" t="str"/>
      <x:c r="L46" s="71" t="str">
        <x:v>Environ 9 880/mois sur génériques visibles avant longue traîne ; Donner, Glarry et VEVOR déjà à 232–340 EUR, offre AliExpress Google à 197,48 EUR</x:v>
      </x:c>
      <x:c r="M46" s="71" t="str"/>
      <x:c r="N46" s="71" t="str"/>
      <x:c r="O46" s="71" t="str"/>
      <x:c r="P46" s="71" t="str">
        <x:v>reports/phase2-f28-home-studio-musique-20260720-124517-a1.md</x:v>
      </x:c>
      <x:c r="Q46" s="71" t="str"/>
      <x:c r="R46" s="71" t="str">
        <x:v>/Users/Hakim/Documents/Boutiques drop/boutique-pipeline/codex-chasse-clusters/registre-candidats.codex.md</x:v>
      </x:c>
    </x:row>
    <x:row r="47" ht="48" customHeight="1">
      <x:c r="A47" s="73" t="str">
        <x:v>CREUSÉ</x:v>
      </x:c>
      <x:c r="B47" s="72" t="str"/>
      <x:c r="C47" s="71" t="str">
        <x:v>f29-photo-video-c01-scanner-photo-negatifs</x:v>
      </x:c>
      <x:c r="D47" s="71" t="str">
        <x:v>Scanner autonome photo, négatifs et diapositives</x:v>
      </x:c>
      <x:c r="E47" s="71" t="str">
        <x:v>Photo, vidéo &amp; éclairage</x:v>
      </x:c>
      <x:c r="F47" s="72" t="str">
        <x:v>STOP</x:v>
      </x:c>
      <x:c r="G47" s="71" t="str">
        <x:v>Volume prudent / concurrence / coût / SAV</x:v>
      </x:c>
      <x:c r="H47" s="71" t="str">
        <x:v>Cluster combiné autour de 10K avec chevauchement ; Kodak/Reflecta à 179–265 EUR avec 100–358 avis</x:v>
      </x:c>
      <x:c r="I47" s="71" t="str"/>
      <x:c r="J47" s="71" t="str"/>
      <x:c r="K47" s="71" t="str"/>
      <x:c r="L47" s="71" t="str">
        <x:v>Cluster combiné autour de 10K avec chevauchement ; Kodak/Reflecta à 179–265 EUR avec 100–358 avis, offres AliExpress Google déjà à 101–259 EUR</x:v>
      </x:c>
      <x:c r="M47" s="71" t="str"/>
      <x:c r="N47" s="71" t="str"/>
      <x:c r="O47" s="71" t="str"/>
      <x:c r="P47" s="71" t="str">
        <x:v>reports/phase2-f29-photo-video-20260720-124517-a1.md</x:v>
      </x:c>
      <x:c r="Q47" s="71" t="str"/>
      <x:c r="R47" s="71" t="str">
        <x:v>/Users/Hakim/Documents/Boutiques drop/boutique-pipeline/codex-chasse-clusters/registre-candidats.codex.md</x:v>
      </x:c>
    </x:row>
    <x:row r="48" ht="48" customHeight="1">
      <x:c r="A48" s="73" t="str">
        <x:v>CREUSÉ</x:v>
      </x:c>
      <x:c r="B48" s="72" t="str"/>
      <x:c r="C48" s="71" t="str">
        <x:v>f30-astronomie-optique-c02-telescope</x:v>
      </x:c>
      <x:c r="D48" s="71" t="str">
        <x:v>Télescope astronomique débutant adulte</x:v>
      </x:c>
      <x:c r="E48" s="71" t="str">
        <x:v>Astronomie &amp; optique</x:v>
      </x:c>
      <x:c r="F48" s="72" t="str">
        <x:v>STOP</x:v>
      </x:c>
      <x:c r="G48" s="71" t="str">
        <x:v>Marques / confiance technique / SAV</x:v>
      </x:c>
      <x:c r="H48" s="71" t="str">
        <x:v>27 100/mois sur la tête</x:v>
      </x:c>
      <x:c r="I48" s="71" t="str"/>
      <x:c r="J48" s="71" t="str"/>
      <x:c r="K48" s="71" t="str"/>
      <x:c r="L48" s="71" t="str">
        <x:v>27 100/mois sur la tête, mais Bresser, Skywatcher, Celestron et Mizar occupent le cœur 239–369 EUR ; monture, stabilité, collimation et accessoires fortement comparables</x:v>
      </x:c>
      <x:c r="M48" s="71" t="str"/>
      <x:c r="N48" s="71" t="str"/>
      <x:c r="O48" s="71" t="str"/>
      <x:c r="P48" s="71" t="str">
        <x:v>reports/phase2-f30-astronomie-optique-20260720-124517-a1.md</x:v>
      </x:c>
      <x:c r="Q48" s="71" t="str"/>
      <x:c r="R48" s="71" t="str">
        <x:v>/Users/Hakim/Documents/Boutiques drop/boutique-pipeline/codex-chasse-clusters/registre-candidats.codex.md</x:v>
      </x:c>
    </x:row>
    <x:row r="49" ht="48" customHeight="1">
      <x:c r="A49" s="73" t="str">
        <x:v>CREUSÉ</x:v>
      </x:c>
      <x:c r="B49" s="72" t="str"/>
      <x:c r="C49" s="71" t="str">
        <x:v>f31-modelisme-rc-c01-drone-camera</x:v>
      </x:c>
      <x:c r="D49" s="71" t="str">
        <x:v>Drone caméra 4K/GPS</x:v>
      </x:c>
      <x:c r="E49" s="71" t="str">
        <x:v>Modélisme &amp; radiocommandé</x:v>
      </x:c>
      <x:c r="F49" s="72" t="str">
        <x:v>STOP</x:v>
      </x:c>
      <x:c r="G49" s="71" t="str">
        <x:v>Concurrence / réglementation / SAV</x:v>
      </x:c>
      <x:c r="H49" s="71" t="str">
        <x:v>135 000/mois sur la tête</x:v>
      </x:c>
      <x:c r="I49" s="71" t="str"/>
      <x:c r="J49" s="71" t="str"/>
      <x:c r="K49" s="71" t="str"/>
      <x:c r="L49" s="71" t="str">
        <x:v>135 000/mois sur la tête, mais DJI et Potensic occupent 245–399 EUR avec 97 à 4 000+ avis ; application, batteries, radio, classe et réglementation aérienne</x:v>
      </x:c>
      <x:c r="M49" s="71" t="str"/>
      <x:c r="N49" s="71" t="str"/>
      <x:c r="O49" s="71" t="str"/>
      <x:c r="P49" s="71" t="str">
        <x:v>reports/phase2-f31-modelisme-rc-20260720-124517-a1.md</x:v>
      </x:c>
      <x:c r="Q49" s="71" t="str"/>
      <x:c r="R49" s="71" t="str">
        <x:v>/Users/Hakim/Documents/Boutiques drop/boutique-pipeline/codex-chasse-clusters/registre-candidats.codex.md</x:v>
      </x:c>
    </x:row>
    <x:row r="50" ht="48" customHeight="1">
      <x:c r="A50" s="73" t="str">
        <x:v>CREUSÉ</x:v>
      </x:c>
      <x:c r="B50" s="72" t="str"/>
      <x:c r="C50" s="71" t="str">
        <x:v>f32-camping-van-c01-glaciere-compression</x:v>
      </x:c>
      <x:c r="D50" s="71" t="str">
        <x:v>Glacière électrique à compresseur 40–55 L</x:v>
      </x:c>
      <x:c r="E50" s="71" t="str">
        <x:v>Camping, van &amp; bivouac</x:v>
      </x:c>
      <x:c r="F50" s="72" t="str">
        <x:v>STOP</x:v>
      </x:c>
      <x:c r="G50" s="71" t="str">
        <x:v>Concurrence / coût / SAV</x:v>
      </x:c>
      <x:c r="H50" s="71" t="str">
        <x:v>33 100/mois sur la tête</x:v>
      </x:c>
      <x:c r="I50" s="71" t="str"/>
      <x:c r="J50" s="71" t="str"/>
      <x:c r="K50" s="71" t="str"/>
      <x:c r="L50" s="71" t="str">
        <x:v>33 100/mois sur la tête, mais VEVOR occupe 164–252 EUR avec de multiples capacités et promotions ; compresseur, alimentation et retours techniques</x:v>
      </x:c>
      <x:c r="M50" s="71" t="str"/>
      <x:c r="N50" s="71" t="str"/>
      <x:c r="O50" s="71" t="str"/>
      <x:c r="P50" s="71" t="str">
        <x:v>reports/phase2-f32-camping-van-20260720-124517-a1.md</x:v>
      </x:c>
      <x:c r="Q50" s="71" t="str"/>
      <x:c r="R50" s="71" t="str">
        <x:v>/Users/Hakim/Documents/Boutiques drop/boutique-pipeline/codex-chasse-clusters/registre-candidats.codex.md</x:v>
      </x:c>
    </x:row>
    <x:row r="51" ht="48" customHeight="1">
      <x:c r="A51" s="73" t="str">
        <x:v>CREUSÉ</x:v>
      </x:c>
      <x:c r="B51" s="72" t="str"/>
      <x:c r="C51" s="71" t="str">
        <x:v>f32-camping-van-c03-chauffage-diesel</x:v>
      </x:c>
      <x:c r="D51" s="71" t="str">
        <x:v>Chauffage diesel de van/camping-car</x:v>
      </x:c>
      <x:c r="E51" s="71" t="str">
        <x:v>Camping, van &amp; bivouac</x:v>
      </x:c>
      <x:c r="F51" s="72" t="str">
        <x:v>STOP</x:v>
      </x:c>
      <x:c r="G51" s="71" t="str">
        <x:v>Volume adressable / sécurité</x:v>
      </x:c>
      <x:c r="H51" s="71" t="str">
        <x:v>Total large 13 380</x:v>
      </x:c>
      <x:c r="I51" s="71" t="str"/>
      <x:c r="J51" s="71" t="str"/>
      <x:c r="K51" s="71" t="str"/>
      <x:c r="L51" s="71" t="str">
        <x:v>Total large 13 380, mais générique propre nettement sous 10K après marques, pannes et accessoires ; combustion et évacuation en risque additionnel</x:v>
      </x:c>
      <x:c r="M51" s="71" t="str"/>
      <x:c r="N51" s="71" t="str"/>
      <x:c r="O51" s="71" t="str"/>
      <x:c r="P51" s="71" t="str">
        <x:v>reports/phase2-f32-camping-van-20260720-124517-a1.md</x:v>
      </x:c>
      <x:c r="Q51" s="71" t="str"/>
      <x:c r="R51" s="71" t="str">
        <x:v>/Users/Hakim/Documents/Boutiques drop/boutique-pipeline/codex-chasse-clusters/registre-candidats.codex.md</x:v>
      </x:c>
    </x:row>
    <x:row r="52" ht="48" customHeight="1">
      <x:c r="A52" s="73" t="str">
        <x:v>CREUSÉ</x:v>
      </x:c>
      <x:c r="B52" s="72" t="str"/>
      <x:c r="C52" s="71" t="str">
        <x:v>f32-camping-van-c04-tente-toit</x:v>
      </x:c>
      <x:c r="D52" s="71" t="str">
        <x:v>Tente de toit 2–3 places</x:v>
      </x:c>
      <x:c r="E52" s="71" t="str">
        <x:v>Camping, van &amp; bivouac</x:v>
      </x:c>
      <x:c r="F52" s="72" t="str">
        <x:v>STOP</x:v>
      </x:c>
      <x:c r="G52" s="71" t="str">
        <x:v>Prix / logistique</x:v>
      </x:c>
      <x:c r="H52" s="71" t="str">
        <x:v>22 200/mois sur la tête</x:v>
      </x:c>
      <x:c r="I52" s="71" t="str"/>
      <x:c r="J52" s="71" t="str"/>
      <x:c r="K52" s="71" t="str"/>
      <x:c r="L52" s="71" t="str">
        <x:v>22 200/mois sur la tête, mais offres comparables 849,99–1 999 EUR, poids 43–55 kg et montage véhicule</x:v>
      </x:c>
      <x:c r="M52" s="71" t="str"/>
      <x:c r="N52" s="71" t="str"/>
      <x:c r="O52" s="71" t="str"/>
      <x:c r="P52" s="71" t="str">
        <x:v>reports/phase2-f32-camping-van-20260720-124517-a1.md</x:v>
      </x:c>
      <x:c r="Q52" s="71" t="str"/>
      <x:c r="R52" s="71" t="str">
        <x:v>/Users/Hakim/Documents/Boutiques drop/boutique-pipeline/codex-chasse-clusters/registre-candidats.codex.md</x:v>
      </x:c>
    </x:row>
    <x:row r="53" ht="48" customHeight="1">
      <x:c r="A53" s="73" t="str">
        <x:v>CREUSÉ</x:v>
      </x:c>
      <x:c r="B53" s="72" t="str"/>
      <x:c r="C53" s="71" t="str">
        <x:v>f33-chasse-peche-nature-c01-camera-chasse</x:v>
      </x:c>
      <x:c r="D53" s="71" t="str">
        <x:v>Caméra de chasse 4G/solaire</x:v>
      </x:c>
      <x:c r="E53" s="71" t="str">
        <x:v>Chasse, pêche &amp; nature</x:v>
      </x:c>
      <x:c r="F53" s="72" t="str">
        <x:v>STOP</x:v>
      </x:c>
      <x:c r="G53" s="71" t="str">
        <x:v>Prix / volume du sous-segment / service</x:v>
      </x:c>
      <x:c r="H53" s="71" t="str">
        <x:v>Tête générique 12 100/mois</x:v>
      </x:c>
      <x:c r="I53" s="71" t="str"/>
      <x:c r="J53" s="71" t="str"/>
      <x:c r="K53" s="71" t="str"/>
      <x:c r="L53" s="71" t="str">
        <x:v>Tête générique 12 100/mois, mais 4G/solaire/connecté autour de 2K avant chevauchements ; K&amp;F/Xega/Spypoint à 89,99–129,90 EUR</x:v>
      </x:c>
      <x:c r="M53" s="71" t="str"/>
      <x:c r="N53" s="71" t="str"/>
      <x:c r="O53" s="71" t="str"/>
      <x:c r="P53" s="71" t="str">
        <x:v>reports/phase2-f33-chasse-peche-nature-20260720-124517-a1.md</x:v>
      </x:c>
      <x:c r="Q53" s="71" t="str"/>
      <x:c r="R53" s="71" t="str">
        <x:v>/Users/Hakim/Documents/Boutiques drop/boutique-pipeline/codex-chasse-clusters/registre-candidats.codex.md</x:v>
      </x:c>
    </x:row>
    <x:row r="54" ht="48" customHeight="1">
      <x:c r="A54" s="73" t="str">
        <x:v>CREUSÉ</x:v>
      </x:c>
      <x:c r="B54" s="72" t="str"/>
      <x:c r="C54" s="71" t="str">
        <x:v>f34-velo-mobilite-c02-home-trainer</x:v>
      </x:c>
      <x:c r="D54" s="71" t="str">
        <x:v>Home trainer connecté/direct drive</x:v>
      </x:c>
      <x:c r="E54" s="71" t="str">
        <x:v>Vélo &amp; mobilité douce</x:v>
      </x:c>
      <x:c r="F54" s="72" t="str">
        <x:v>STOP</x:v>
      </x:c>
      <x:c r="G54" s="71" t="str">
        <x:v>Concurrence / compatibilité / SAV</x:v>
      </x:c>
      <x:c r="H54" s="71" t="str">
        <x:v>22 200/mois sur la tête</x:v>
      </x:c>
      <x:c r="I54" s="71" t="str"/>
      <x:c r="J54" s="71" t="str"/>
      <x:c r="K54" s="71" t="str"/>
      <x:c r="L54" s="71" t="str">
        <x:v>22 200/mois sur la tête, mais Van Rysel, ThinkRider, Elite et Wahoo occupent 250–400 EUR avec 109–398 avis</x:v>
      </x:c>
      <x:c r="M54" s="71" t="str"/>
      <x:c r="N54" s="71" t="str"/>
      <x:c r="O54" s="71" t="str"/>
      <x:c r="P54" s="71" t="str">
        <x:v>reports/phase2-f34-velo-mobilite-20260720-124517-a1.md</x:v>
      </x:c>
      <x:c r="Q54" s="71" t="str"/>
      <x:c r="R54" s="71" t="str">
        <x:v>/Users/Hakim/Documents/Boutiques drop/boutique-pipeline/codex-chasse-clusters/registre-candidats.codex.md</x:v>
      </x:c>
    </x:row>
    <x:row r="55" ht="48" customHeight="1">
      <x:c r="A55" s="73" t="str">
        <x:v>CREUSÉ</x:v>
      </x:c>
      <x:c r="B55" s="72" t="str"/>
      <x:c r="C55" s="71" t="str">
        <x:v>f35-domotique-securite-c02-visiophone</x:v>
      </x:c>
      <x:c r="D55" s="71" t="str">
        <x:v>Visiophone 2 fils, écran 7 pouces</x:v>
      </x:c>
      <x:c r="E55" s="71" t="str">
        <x:v>Domotique &amp; sécurité</x:v>
      </x:c>
      <x:c r="F55" s="72" t="str">
        <x:v>STOP</x:v>
      </x:c>
      <x:c r="G55" s="71" t="str">
        <x:v>Prix / concurrence / SAV</x:v>
      </x:c>
      <x:c r="H55" s="71" t="str">
        <x:v>Cluster &gt;10K</x:v>
      </x:c>
      <x:c r="I55" s="71" t="str"/>
      <x:c r="J55" s="71" t="str"/>
      <x:c r="K55" s="71" t="str"/>
      <x:c r="L55" s="71" t="str">
        <x:v>Cluster &gt;10K, mais SCS Sentinel à 129–179 EUR avec garantie 5 ans annoncée et offres AliExpress publiques comparables à 104–144 EUR</x:v>
      </x:c>
      <x:c r="M55" s="71" t="str"/>
      <x:c r="N55" s="71" t="str"/>
      <x:c r="O55" s="71" t="str"/>
      <x:c r="P55" s="71" t="str">
        <x:v>reports/phase2-f35-domotique-securite-20260720-124517-a1.md</x:v>
      </x:c>
      <x:c r="Q55" s="71" t="str"/>
      <x:c r="R55" s="71" t="str">
        <x:v>/Users/Hakim/Documents/Boutiques drop/boutique-pipeline/codex-chasse-clusters/registre-candidats.codex.md</x:v>
      </x:c>
    </x:row>
    <x:row r="56" ht="48" customHeight="1">
      <x:c r="A56" s="73" t="str">
        <x:v>CREUSÉ</x:v>
      </x:c>
      <x:c r="B56" s="72" t="str"/>
      <x:c r="C56" s="71" t="str">
        <x:v>f36-nettoyage-technique-c01-injecteur-extracteur</x:v>
      </x:c>
      <x:c r="D56" s="71" t="str">
        <x:v>Injecteur-extracteur compact</x:v>
      </x:c>
      <x:c r="E56" s="71" t="str">
        <x:v>Nettoyage technique</x:v>
      </x:c>
      <x:c r="F56" s="72" t="str">
        <x:v>STOP</x:v>
      </x:c>
      <x:c r="G56" s="71" t="str">
        <x:v>Concurrence / prix</x:v>
      </x:c>
      <x:c r="H56" s="71" t="str">
        <x:v>&gt;18 700/mois sur génériques ; Bissell à 150–350 EUR avec jusqu'à 947 avis</x:v>
      </x:c>
      <x:c r="I56" s="71" t="str"/>
      <x:c r="J56" s="71" t="str"/>
      <x:c r="K56" s="71" t="str"/>
      <x:c r="L56" s="71" t="str">
        <x:v>&gt;18 700/mois sur génériques ; Bissell à 150–350 EUR avec jusqu'à 947 avis, VEVOR/Hoover/Uwant à 70–87 EUR</x:v>
      </x:c>
      <x:c r="M56" s="71" t="str"/>
      <x:c r="N56" s="71" t="str"/>
      <x:c r="O56" s="71" t="str"/>
      <x:c r="P56" s="71" t="str">
        <x:v>reports/phase2-f36-nettoyage-technique-20260720-124517-a1.md</x:v>
      </x:c>
      <x:c r="Q56" s="71" t="str"/>
      <x:c r="R56" s="71" t="str">
        <x:v>/Users/Hakim/Documents/Boutiques drop/boutique-pipeline/codex-chasse-clusters/registre-candidats.codex.md</x:v>
      </x:c>
    </x:row>
    <x:row r="57" ht="48" customHeight="1">
      <x:c r="A57" s="73" t="str">
        <x:v>CREUSÉ</x:v>
      </x:c>
      <x:c r="B57" s="72" t="str"/>
      <x:c r="C57" s="71" t="str">
        <x:v>f36-nettoyage-technique-c03-nettoyeur-vapeur</x:v>
      </x:c>
      <x:c r="D57" s="71" t="str">
        <x:v>Nettoyeur vapeur traîneau</x:v>
      </x:c>
      <x:c r="E57" s="71" t="str">
        <x:v>Nettoyage technique</x:v>
      </x:c>
      <x:c r="F57" s="72" t="str">
        <x:v>STOP</x:v>
      </x:c>
      <x:c r="G57" s="71" t="str">
        <x:v>Concurrence / prix</x:v>
      </x:c>
      <x:c r="H57" s="71" t="str">
        <x:v>49 500/mois sur la tête</x:v>
      </x:c>
      <x:c r="I57" s="71" t="str"/>
      <x:c r="J57" s="71" t="str"/>
      <x:c r="K57" s="71" t="str"/>
      <x:c r="L57" s="71" t="str">
        <x:v>49 500/mois sur la tête, mais Costway, Kärcher, Polti et Rowenta couvrent 90–359 EUR avec 269 à 2 700 avis</x:v>
      </x:c>
      <x:c r="M57" s="71" t="str"/>
      <x:c r="N57" s="71" t="str"/>
      <x:c r="O57" s="71" t="str"/>
      <x:c r="P57" s="71" t="str">
        <x:v>reports/phase2-f36-nettoyage-technique-20260720-124517-a1.md</x:v>
      </x:c>
      <x:c r="Q57" s="71" t="str"/>
      <x:c r="R57" s="71" t="str">
        <x:v>/Users/Hakim/Documents/Boutiques drop/boutique-pipeline/codex-chasse-clusters/registre-candidats.codex.md</x:v>
      </x:c>
    </x:row>
    <x:row r="58" ht="48" customHeight="1">
      <x:c r="A58" s="73" t="str">
        <x:v>CREUSÉ</x:v>
      </x:c>
      <x:c r="B58" s="72" t="str"/>
      <x:c r="C58" s="71" t="str">
        <x:v>f37-rangement-modulaire-c01-console-extensible</x:v>
      </x:c>
      <x:c r="D58" s="71" t="str">
        <x:v>Console extensible 10 personnes</x:v>
      </x:c>
      <x:c r="E58" s="71" t="str">
        <x:v>Rangement modulaire &amp; mobilier transformable</x:v>
      </x:c>
      <x:c r="F58" s="72" t="str">
        <x:v>STOP</x:v>
      </x:c>
      <x:c r="G58" s="71" t="str">
        <x:v>Concurrence / coût / logistique</x:v>
      </x:c>
      <x:c r="H58" s="71" t="str">
        <x:v>&gt;27 300/mois</x:v>
      </x:c>
      <x:c r="I58" s="71" t="str"/>
      <x:c r="J58" s="71" t="str"/>
      <x:c r="K58" s="71" t="str"/>
      <x:c r="L58" s="71" t="str">
        <x:v>&gt;27 300/mois, mais Mobili Fiver affiche 2 000–4 000+ avis à 397,94–525,38 EUR livré et Concept Usine pose un plancher livré à 359,90 EUR</x:v>
      </x:c>
      <x:c r="M58" s="71" t="str"/>
      <x:c r="N58" s="71" t="str"/>
      <x:c r="O58" s="71" t="str"/>
      <x:c r="P58" s="71" t="str">
        <x:v>reports/phase2-f37-rangement-modulaire-20260720-124517-a1.md</x:v>
      </x:c>
      <x:c r="Q58" s="71" t="str"/>
      <x:c r="R58" s="71" t="str">
        <x:v>/Users/Hakim/Documents/Boutiques drop/boutique-pipeline/codex-chasse-clusters/registre-candidats.codex.md</x:v>
      </x:c>
    </x:row>
    <x:row r="59" ht="48" customHeight="1">
      <x:c r="A59" s="73" t="str">
        <x:v>CREUSÉ</x:v>
      </x:c>
      <x:c r="B59" s="72" t="str"/>
      <x:c r="C59" s="71" t="str">
        <x:v>f37-rangement-modulaire-c02-lit-escamotable</x:v>
      </x:c>
      <x:c r="D59" s="71" t="str">
        <x:v>Lit escamotable vertical 140×190</x:v>
      </x:c>
      <x:c r="E59" s="71" t="str">
        <x:v>Rangement modulaire &amp; mobilier transformable</x:v>
      </x:c>
      <x:c r="F59" s="72" t="str">
        <x:v>STOP</x:v>
      </x:c>
      <x:c r="G59" s="71" t="str">
        <x:v>Prix / installation / logistique</x:v>
      </x:c>
      <x:c r="H59" s="71" t="str">
        <x:v>27 100/mois sur la tête</x:v>
      </x:c>
      <x:c r="I59" s="71" t="str"/>
      <x:c r="J59" s="71" t="str"/>
      <x:c r="K59" s="71" t="str"/>
      <x:c r="L59" s="71" t="str">
        <x:v>27 100/mois sur la tête, mais produits complets observés autour de 949–2 000+ EUR ; mécanismes seuls non comparables et ancrage mural critique</x:v>
      </x:c>
      <x:c r="M59" s="71" t="str"/>
      <x:c r="N59" s="71" t="str"/>
      <x:c r="O59" s="71" t="str"/>
      <x:c r="P59" s="71" t="str">
        <x:v>reports/phase2-f37-rangement-modulaire-20260720-124517-a1.md</x:v>
      </x:c>
      <x:c r="Q59" s="71" t="str"/>
      <x:c r="R59" s="71" t="str">
        <x:v>/Users/Hakim/Documents/Boutiques drop/boutique-pipeline/codex-chasse-clusters/registre-candidats.codex.md</x:v>
      </x:c>
    </x:row>
    <x:row r="60" ht="48" customHeight="1">
      <x:c r="A60" s="73" t="str">
        <x:v>CREUSÉ</x:v>
      </x:c>
      <x:c r="B60" s="72" t="str"/>
      <x:c r="C60" s="71" t="str">
        <x:v>f40-autonomie-agricole-c02-broyeur-vegetaux-electrique</x:v>
      </x:c>
      <x:c r="D60" s="71" t="str">
        <x:v>Broyeur de végétaux électrique 2 800 W</x:v>
      </x:c>
      <x:c r="E60" s="71" t="str">
        <x:v>Agriculture de loisir &amp; autonomie</x:v>
      </x:c>
      <x:c r="F60" s="72" t="str">
        <x:v>STOP</x:v>
      </x:c>
      <x:c r="G60" s="71" t="str">
        <x:v>Concurrence / prix / SAV</x:v>
      </x:c>
      <x:c r="H60" s="71" t="str">
        <x:v>33 100/mois sur la tête</x:v>
      </x:c>
      <x:c r="I60" s="71" t="str"/>
      <x:c r="J60" s="71" t="str"/>
      <x:c r="K60" s="71" t="str"/>
      <x:c r="L60" s="71" t="str">
        <x:v>33 100/mois sur la tête, mais Gardebruk dès 149,99 EUR avec 1 000+ avis, OOGarden autour de 169,89 EUR livré et Makita/Bosch/Ryobi très prouvés</x:v>
      </x:c>
      <x:c r="M60" s="71" t="str"/>
      <x:c r="N60" s="71" t="str"/>
      <x:c r="O60" s="71" t="str"/>
      <x:c r="P60" s="71" t="str">
        <x:v>reports/phase2-f40-autonomie-agricole-20260720-124517-a1.md</x:v>
      </x:c>
      <x:c r="Q60" s="71" t="str"/>
      <x:c r="R60" s="71" t="str">
        <x:v>/Users/Hakim/Documents/Boutiques drop/boutique-pipeline/codex-chasse-clusters/registre-candidats.codex.md</x:v>
      </x:c>
    </x:row>
    <x:row r="61" ht="48" customHeight="1">
      <x:c r="A61" s="73" t="str">
        <x:v>CREUSÉ</x:v>
      </x:c>
      <x:c r="B61" s="72" t="str"/>
      <x:c r="C61" s="71" t="str">
        <x:v>f40-autonomie-agricole-c03-motoculteur-thermique</x:v>
      </x:c>
      <x:c r="D61" s="71" t="str">
        <x:v>Motoculteur thermique 7 CV</x:v>
      </x:c>
      <x:c r="E61" s="71" t="str">
        <x:v>Agriculture de loisir &amp; autonomie</x:v>
      </x:c>
      <x:c r="F61" s="72" t="str">
        <x:v>STOP</x:v>
      </x:c>
      <x:c r="G61" s="71" t="str">
        <x:v>Prix / logistique / SAV</x:v>
      </x:c>
      <x:c r="H61" s="71" t="str">
        <x:v>33 100/mois sur la tête</x:v>
      </x:c>
      <x:c r="I61" s="71" t="str"/>
      <x:c r="J61" s="71" t="str"/>
      <x:c r="K61" s="71" t="str"/>
      <x:c r="L61" s="71" t="str">
        <x:v>33 100/mois sur la tête, mais comparables autour de 512–545 EUR livrés au plancher puis 569–2 092 EUR</x:v>
      </x:c>
      <x:c r="M61" s="71" t="str"/>
      <x:c r="N61" s="71" t="str"/>
      <x:c r="O61" s="71" t="str"/>
      <x:c r="P61" s="71" t="str">
        <x:v>reports/phase2-f40-autonomie-agricole-20260720-124517-a1.md</x:v>
      </x:c>
      <x:c r="Q61" s="71" t="str"/>
      <x:c r="R61" s="71" t="str">
        <x:v>/Users/Hakim/Documents/Boutiques drop/boutique-pipeline/codex-chasse-clusters/registre-candidats.codex.md</x:v>
      </x:c>
    </x:row>
    <x:row r="62" ht="48" customHeight="1">
      <x:c r="A62" s="73" t="str">
        <x:v>EXCLU</x:v>
      </x:c>
      <x:c r="B62" s="72" t="str"/>
      <x:c r="C62" s="71" t="str">
        <x:v>f01-atelier-outillage-c01-servante-atelier</x:v>
      </x:c>
      <x:c r="D62" s="71" t="str">
        <x:v>Servante d'atelier</x:v>
      </x:c>
      <x:c r="E62" s="71" t="str">
        <x:v>Atelier &amp; outillage</x:v>
      </x:c>
      <x:c r="F62" s="72" t="str">
        <x:v>STOP</x:v>
      </x:c>
      <x:c r="G62" s="71" t="str">
        <x:v>Anti-doublon historique</x:v>
      </x:c>
      <x:c r="H62" s="71" t="str">
        <x:v>28 130/mois bruts prudents mesurés par Codex</x:v>
      </x:c>
      <x:c r="I62" s="71" t="str"/>
      <x:c r="J62" s="71" t="str"/>
      <x:c r="K62" s="71" t="str"/>
      <x:c r="L62" s="71" t="str">
        <x:v>28 130/mois bruts prudents mesurés par Codex, mais produit déjà instruit et rejeté sans reprise motivée</x:v>
      </x:c>
      <x:c r="M62" s="71" t="str"/>
      <x:c r="N62" s="71" t="str"/>
      <x:c r="O62" s="71" t="str"/>
      <x:c r="P62" s="71" t="str">
        <x:v>reports/phase0-f01-atelier-outillage-family-20260720-124517-a1.md</x:v>
      </x:c>
      <x:c r="Q62" s="71" t="str"/>
      <x:c r="R62" s="71" t="str">
        <x:v>/Users/Hakim/Documents/Boutiques drop/boutique-pipeline/codex-chasse-clusters/registre-candidats.codex.md</x:v>
      </x:c>
    </x:row>
    <x:row r="63" ht="48" customHeight="1">
      <x:c r="A63" s="73" t="str">
        <x:v>EXCLU</x:v>
      </x:c>
      <x:c r="B63" s="72" t="str"/>
      <x:c r="C63" s="71" t="str">
        <x:v>f01-atelier-outillage-c02-etabli</x:v>
      </x:c>
      <x:c r="D63" s="71" t="str">
        <x:v>Établi d'atelier</x:v>
      </x:c>
      <x:c r="E63" s="71" t="str">
        <x:v>Atelier &amp; outillage</x:v>
      </x:c>
      <x:c r="F63" s="72" t="str">
        <x:v>STOP</x:v>
      </x:c>
      <x:c r="G63" s="71" t="str">
        <x:v>Anti-doublon historique</x:v>
      </x:c>
      <x:c r="H63" s="71" t="str">
        <x:v>15 000/mois bruts prudents mesurés par Codex</x:v>
      </x:c>
      <x:c r="I63" s="71" t="str"/>
      <x:c r="J63" s="71" t="str"/>
      <x:c r="K63" s="71" t="str"/>
      <x:c r="L63" s="71" t="str">
        <x:v>15 000/mois bruts prudents mesurés par Codex, mais produit déjà instruit et rejeté sans reprise motivée</x:v>
      </x:c>
      <x:c r="M63" s="71" t="str"/>
      <x:c r="N63" s="71" t="str"/>
      <x:c r="O63" s="71" t="str"/>
      <x:c r="P63" s="71" t="str">
        <x:v>reports/phase0-f01-atelier-outillage-family-20260720-124517-a1.md</x:v>
      </x:c>
      <x:c r="Q63" s="71" t="str"/>
      <x:c r="R63" s="71" t="str">
        <x:v>/Users/Hakim/Documents/Boutiques drop/boutique-pipeline/codex-chasse-clusters/registre-candidats.codex.md</x:v>
      </x:c>
    </x:row>
    <x:row r="64" ht="48" customHeight="1">
      <x:c r="A64" s="73" t="str">
        <x:v>EXCLU</x:v>
      </x:c>
      <x:c r="B64" s="72" t="str"/>
      <x:c r="C64" s="71" t="str">
        <x:v>f04-auto-moto-diagnostic-c01-valise-diagnostic</x:v>
      </x:c>
      <x:c r="D64" s="71" t="str">
        <x:v>Valise de diagnostic automobile multimarque</x:v>
      </x:c>
      <x:c r="E64" s="71" t="str">
        <x:v>Auto / moto atelier &amp; diagnostic</x:v>
      </x:c>
      <x:c r="F64" s="72" t="str">
        <x:v>STOP</x:v>
      </x:c>
      <x:c r="G64" s="71" t="str">
        <x:v>Anti-doublon historique</x:v>
      </x:c>
      <x:c r="H64" s="71" t="str">
        <x:v>13 430/mois bruts prudents mesurés par Codex</x:v>
      </x:c>
      <x:c r="I64" s="71" t="str"/>
      <x:c r="J64" s="71" t="str"/>
      <x:c r="K64" s="71" t="str"/>
      <x:c r="L64" s="71" t="str">
        <x:v>13 430/mois bruts prudents mesurés par Codex, mais dossier OBD2 déjà rejeté au coût rendu de 175 EUR, proche des prix publics européens ; reprise conditionnée à un coût durable inférieur à 110–120 EUR ou à une offre non comparable</x:v>
      </x:c>
      <x:c r="M64" s="71" t="str"/>
      <x:c r="N64" s="71" t="str"/>
      <x:c r="O64" s="71" t="str"/>
      <x:c r="P64" s="71" t="str">
        <x:v>reports/phase0-f04-auto-moto-diagnostic-family-20260720-124517-a1.md</x:v>
      </x:c>
      <x:c r="Q64" s="71" t="str"/>
      <x:c r="R64" s="71" t="str">
        <x:v>/Users/Hakim/Documents/Boutiques drop/boutique-pipeline/codex-chasse-clusters/registre-candidats.codex.md</x:v>
      </x:c>
    </x:row>
    <x:row r="65" ht="48" customHeight="1">
      <x:c r="A65" s="73" t="str">
        <x:v>EXCLU</x:v>
      </x:c>
      <x:c r="B65" s="72" t="str"/>
      <x:c r="C65" s="71" t="str">
        <x:v>f15-piscine-spa-c03-electrolyseur-piscine</x:v>
      </x:c>
      <x:c r="D65" s="71" t="str">
        <x:v>Électrolyseur piscine</x:v>
      </x:c>
      <x:c r="E65" s="71" t="str">
        <x:v>Piscine &amp; spa</x:v>
      </x:c>
      <x:c r="F65" s="72" t="str">
        <x:v>STOP</x:v>
      </x:c>
      <x:c r="G65" s="71" t="str">
        <x:v>Volume</x:v>
      </x:c>
      <x:c r="H65" s="71" t="str">
        <x:v>8 840/mois sur le total large avant nettoyage</x:v>
      </x:c>
      <x:c r="I65" s="71" t="str"/>
      <x:c r="J65" s="71" t="str"/>
      <x:c r="K65" s="71" t="str"/>
      <x:c r="L65" s="71" t="str">
        <x:v>8 840/mois sur le total large avant nettoyage</x:v>
      </x:c>
      <x:c r="M65" s="71" t="str"/>
      <x:c r="N65" s="71" t="str"/>
      <x:c r="O65" s="71" t="str"/>
      <x:c r="P65" s="71" t="str">
        <x:v>reports/phase2-f15-piscine-spa-20260720-124517-a1.md</x:v>
      </x:c>
      <x:c r="Q65" s="71" t="str"/>
      <x:c r="R65" s="71" t="str">
        <x:v>/Users/Hakim/Documents/Boutiques drop/boutique-pipeline/codex-chasse-clusters/registre-candidats.codex.md</x:v>
      </x:c>
    </x:row>
    <x:row r="66" ht="48" customHeight="1">
      <x:c r="A66" s="73" t="str">
        <x:v>EXCLU</x:v>
      </x:c>
      <x:c r="B66" s="72" t="str"/>
      <x:c r="C66" s="71" t="str">
        <x:v>f15-piscine-spa-c05-filtre-sable-piscine</x:v>
      </x:c>
      <x:c r="D66" s="71" t="str">
        <x:v>Filtre à sable piscine</x:v>
      </x:c>
      <x:c r="E66" s="71" t="str">
        <x:v>Piscine &amp; spa</x:v>
      </x:c>
      <x:c r="F66" s="72" t="str">
        <x:v>STOP</x:v>
      </x:c>
      <x:c r="G66" s="71" t="str">
        <x:v>Volume adressable</x:v>
      </x:c>
      <x:c r="H66" s="71" t="str">
        <x:v>Total large 21 640 pollué par sable</x:v>
      </x:c>
      <x:c r="I66" s="71" t="str"/>
      <x:c r="J66" s="71" t="str"/>
      <x:c r="K66" s="71" t="str"/>
      <x:c r="L66" s="71" t="str">
        <x:v>Total large 21 640 pollué par sable, pièces et entretien ; appareil clairement sous 5 000/mois</x:v>
      </x:c>
      <x:c r="M66" s="71" t="str"/>
      <x:c r="N66" s="71" t="str"/>
      <x:c r="O66" s="71" t="str"/>
      <x:c r="P66" s="71" t="str">
        <x:v>reports/phase2-f15-piscine-spa-20260720-124517-a1.md</x:v>
      </x:c>
      <x:c r="Q66" s="71" t="str"/>
      <x:c r="R66" s="71" t="str">
        <x:v>/Users/Hakim/Documents/Boutiques drop/boutique-pipeline/codex-chasse-clusters/registre-candidats.codex.md</x:v>
      </x:c>
    </x:row>
    <x:row r="67" ht="48" customHeight="1">
      <x:c r="A67" s="73" t="str">
        <x:v>EXCLU</x:v>
      </x:c>
      <x:c r="B67" s="72" t="str"/>
      <x:c r="C67" s="71" t="str">
        <x:v>f17-ceramique-c02-four-ceramique</x:v>
      </x:c>
      <x:c r="D67" s="71" t="str">
        <x:v>Four céramique</x:v>
      </x:c>
      <x:c r="E67" s="71" t="str">
        <x:v>Céramique &amp; émaillage</x:v>
      </x:c>
      <x:c r="F67" s="72" t="str">
        <x:v>STOP</x:v>
      </x:c>
      <x:c r="G67" s="71" t="str">
        <x:v>Volume adressable</x:v>
      </x:c>
      <x:c r="H67" s="71" t="str">
        <x:v>Total large 12 670 pollué par vaisselle/cuisson ; appareil sous 10 000 avant prix et sécurité</x:v>
      </x:c>
      <x:c r="I67" s="71" t="str"/>
      <x:c r="J67" s="71" t="str"/>
      <x:c r="K67" s="71" t="str"/>
      <x:c r="L67" s="71" t="str">
        <x:v>Total large 12 670 pollué par vaisselle/cuisson ; appareil sous 10 000 avant prix et sécurité</x:v>
      </x:c>
      <x:c r="M67" s="71" t="str"/>
      <x:c r="N67" s="71" t="str"/>
      <x:c r="O67" s="71" t="str"/>
      <x:c r="P67" s="71" t="str">
        <x:v>reports/phase2-f17-ceramique-20260720-124517-a1.md</x:v>
      </x:c>
      <x:c r="Q67" s="71" t="str"/>
      <x:c r="R67" s="71" t="str">
        <x:v>/Users/Hakim/Documents/Boutiques drop/boutique-pipeline/codex-chasse-clusters/registre-candidats.codex.md</x:v>
      </x:c>
    </x:row>
    <x:row r="68" ht="48" customHeight="1">
      <x:c r="A68" s="73" t="str">
        <x:v>EXCLU</x:v>
      </x:c>
      <x:c r="B68" s="72" t="str"/>
      <x:c r="C68" s="71" t="str">
        <x:v>f18-bijouterie-lapidaire-c01-laminoir-bijoutier</x:v>
      </x:c>
      <x:c r="D68" s="71" t="str">
        <x:v>Laminoir de bijoutier</x:v>
      </x:c>
      <x:c r="E68" s="71" t="str">
        <x:v>Bijouterie &amp; lapidaire</x:v>
      </x:c>
      <x:c r="F68" s="72" t="str">
        <x:v>STOP</x:v>
      </x:c>
      <x:c r="G68" s="71" t="str">
        <x:v>Volume</x:v>
      </x:c>
      <x:c r="H68" s="71" t="str">
        <x:v>1 050 recherches/mois</x:v>
      </x:c>
      <x:c r="I68" s="71" t="str"/>
      <x:c r="J68" s="71" t="str"/>
      <x:c r="K68" s="71" t="str"/>
      <x:c r="L68" s="71" t="str">
        <x:v>Total large de 1 050 recherches/mois ; principales formulations appareil à 260, 210 et 140 recherches/mois. Sous le seuil.</x:v>
      </x:c>
      <x:c r="M68" s="71" t="str"/>
      <x:c r="N68" s="71" t="str"/>
      <x:c r="O68" s="71" t="str"/>
      <x:c r="P68" s="71" t="str">
        <x:v>reports/phase0-f18-bijouterie-lapidaire-family-20260720-124517-a1.md</x:v>
      </x:c>
      <x:c r="Q68" s="71" t="str"/>
      <x:c r="R68" s="71" t="str">
        <x:v>/Users/Hakim/Documents/Boutiques drop/boutique-pipeline/codex-chasse-clusters/reports/phase0-f18-bijouterie-lapidaire-family-20260720-124517-a1.md</x:v>
      </x:c>
    </x:row>
    <x:row r="69" ht="48" customHeight="1">
      <x:c r="A69" s="73" t="str">
        <x:v>EXCLU</x:v>
      </x:c>
      <x:c r="B69" s="72" t="str"/>
      <x:c r="C69" s="71" t="str">
        <x:v>f18-bijouterie-lapidaire-c02-tonneau-polir</x:v>
      </x:c>
      <x:c r="D69" s="71" t="str">
        <x:v>Tonneau à polir les pierres</x:v>
      </x:c>
      <x:c r="E69" s="71" t="str">
        <x:v>Bijouterie &amp; lapidaire</x:v>
      </x:c>
      <x:c r="F69" s="72" t="str">
        <x:v>STOP</x:v>
      </x:c>
      <x:c r="G69" s="71" t="str">
        <x:v>Volume</x:v>
      </x:c>
      <x:c r="H69" s="71" t="str">
        <x:v>40 recherches/mois</x:v>
      </x:c>
      <x:c r="I69" s="71" t="str"/>
      <x:c r="J69" s="71" t="str"/>
      <x:c r="K69" s="71" t="str"/>
      <x:c r="L69" s="71" t="str">
        <x:v>Total SEMrush de 40 recherches/mois : deux formulations à 20, le reste à zéro. Sous le seuil.</x:v>
      </x:c>
      <x:c r="M69" s="71" t="str"/>
      <x:c r="N69" s="71" t="str"/>
      <x:c r="O69" s="71" t="str"/>
      <x:c r="P69" s="71" t="str">
        <x:v>reports/phase0-f18-bijouterie-lapidaire-family-20260720-124517-a1.md</x:v>
      </x:c>
      <x:c r="Q69" s="71" t="str"/>
      <x:c r="R69" s="71" t="str">
        <x:v>/Users/Hakim/Documents/Boutiques drop/boutique-pipeline/codex-chasse-clusters/reports/phase0-f18-bijouterie-lapidaire-family-20260720-124517-a1.md</x:v>
      </x:c>
    </x:row>
    <x:row r="70" ht="48" customHeight="1">
      <x:c r="A70" s="73" t="str">
        <x:v>EXCLU</x:v>
      </x:c>
      <x:c r="B70" s="72" t="str"/>
      <x:c r="C70" s="71" t="str">
        <x:v>f19-textile-couture-c03-machine-tricoter</x:v>
      </x:c>
      <x:c r="D70" s="71" t="str">
        <x:v>Machine à tricoter</x:v>
      </x:c>
      <x:c r="E70" s="71" t="str">
        <x:v>Textile, couture &amp; tissage</x:v>
      </x:c>
      <x:c r="F70" s="72" t="str">
        <x:v>STOP</x:v>
      </x:c>
      <x:c r="G70" s="71" t="str">
        <x:v>Volume adressable</x:v>
      </x:c>
      <x:c r="H70" s="71" t="str">
        <x:v>Total large 15 060</x:v>
      </x:c>
      <x:c r="I70" s="71" t="str"/>
      <x:c r="J70" s="71" t="str"/>
      <x:c r="K70" s="71" t="str"/>
      <x:c r="L70" s="71" t="str">
        <x:v>Total large 15 060, mais générique propre autour de 3 300 avant variantes ; marques/occasion dominants</x:v>
      </x:c>
      <x:c r="M70" s="71" t="str"/>
      <x:c r="N70" s="71" t="str"/>
      <x:c r="O70" s="71" t="str"/>
      <x:c r="P70" s="71" t="str">
        <x:v>reports/phase2-f19-textile-couture-20260720-124517-a1.md</x:v>
      </x:c>
      <x:c r="Q70" s="71" t="str"/>
      <x:c r="R70" s="71" t="str">
        <x:v>/Users/Hakim/Documents/Boutiques drop/boutique-pipeline/codex-chasse-clusters/registre-candidats.codex.md</x:v>
      </x:c>
    </x:row>
    <x:row r="71" ht="48" customHeight="1">
      <x:c r="A71" s="73" t="str">
        <x:v>EXCLU</x:v>
      </x:c>
      <x:c r="B71" s="72" t="str"/>
      <x:c r="C71" s="71" t="str">
        <x:v>f19-textile-couture-c04-metier-tisser</x:v>
      </x:c>
      <x:c r="D71" s="71" t="str">
        <x:v>Métier à tisser</x:v>
      </x:c>
      <x:c r="E71" s="71" t="str">
        <x:v>Textile, couture &amp; tissage</x:v>
      </x:c>
      <x:c r="F71" s="72" t="str">
        <x:v>STOP</x:v>
      </x:c>
      <x:c r="G71" s="71" t="str">
        <x:v>Volume adressable</x:v>
      </x:c>
      <x:c r="H71" s="71" t="str">
        <x:v>Total large 21 210 pollué par perles</x:v>
      </x:c>
      <x:c r="I71" s="71" t="str"/>
      <x:c r="J71" s="71" t="str"/>
      <x:c r="K71" s="71" t="str"/>
      <x:c r="L71" s="71" t="str">
        <x:v>Total large 21 210 pollué par perles, Minecraft, enfants et tutoriels ; produit adulte sous 10 000</x:v>
      </x:c>
      <x:c r="M71" s="71" t="str"/>
      <x:c r="N71" s="71" t="str"/>
      <x:c r="O71" s="71" t="str"/>
      <x:c r="P71" s="71" t="str">
        <x:v>reports/phase2-f19-textile-couture-20260720-124517-a1.md</x:v>
      </x:c>
      <x:c r="Q71" s="71" t="str"/>
      <x:c r="R71" s="71" t="str">
        <x:v>/Users/Hakim/Documents/Boutiques drop/boutique-pipeline/codex-chasse-clusters/registre-candidats.codex.md</x:v>
      </x:c>
    </x:row>
    <x:row r="72" ht="48" customHeight="1">
      <x:c r="A72" s="73" t="str">
        <x:v>EXCLU</x:v>
      </x:c>
      <x:c r="B72" s="72" t="str"/>
      <x:c r="C72" s="71" t="str">
        <x:v>f20-cuir-maroquinerie-c01-machine-coudre-cuir</x:v>
      </x:c>
      <x:c r="D72" s="71" t="str">
        <x:v>Machine à coudre le cuir</x:v>
      </x:c>
      <x:c r="E72" s="71" t="str">
        <x:v>Cuir &amp; maroquinerie</x:v>
      </x:c>
      <x:c r="F72" s="72" t="str">
        <x:v>STOP</x:v>
      </x:c>
      <x:c r="G72" s="71" t="str">
        <x:v>Volume</x:v>
      </x:c>
      <x:c r="H72" s="71" t="str">
        <x:v>4 350 recherches/mois</x:v>
      </x:c>
      <x:c r="I72" s="71" t="str"/>
      <x:c r="J72" s="71" t="str"/>
      <x:c r="K72" s="71" t="str"/>
      <x:c r="L72" s="71" t="str">
        <x:v>Total large SEMrush de 4 350 recherches/mois ; plusieurs formulations sont orientées tutoriel. Très inférieur au seuil.</x:v>
      </x:c>
      <x:c r="M72" s="71" t="str"/>
      <x:c r="N72" s="71" t="str"/>
      <x:c r="O72" s="71" t="str"/>
      <x:c r="P72" s="71" t="str">
        <x:v>reports/phase0-f20-cuir-maroquinerie-family-20260720-124517-a1.md</x:v>
      </x:c>
      <x:c r="Q72" s="71" t="str"/>
      <x:c r="R72" s="71" t="str">
        <x:v>/Users/Hakim/Documents/Boutiques drop/boutique-pipeline/codex-chasse-clusters/reports/phase0-f20-cuir-maroquinerie-family-20260720-124517-a1.md</x:v>
      </x:c>
    </x:row>
    <x:row r="73" ht="48" customHeight="1">
      <x:c r="A73" s="73" t="str">
        <x:v>EXCLU</x:v>
      </x:c>
      <x:c r="B73" s="72" t="str"/>
      <x:c r="C73" s="71" t="str">
        <x:v>f20-cuir-maroquinerie-c02-pareuse-cuir</x:v>
      </x:c>
      <x:c r="D73" s="71" t="str">
        <x:v>Pareuse cuir</x:v>
      </x:c>
      <x:c r="E73" s="71" t="str">
        <x:v>Cuir &amp; maroquinerie</x:v>
      </x:c>
      <x:c r="F73" s="72" t="str">
        <x:v>STOP</x:v>
      </x:c>
      <x:c r="G73" s="71" t="str">
        <x:v>Volume</x:v>
      </x:c>
      <x:c r="H73" s="71" t="str">
        <x:v>570 recherches/mois</x:v>
      </x:c>
      <x:c r="I73" s="71" t="str"/>
      <x:c r="J73" s="71" t="str"/>
      <x:c r="K73" s="71" t="str"/>
      <x:c r="L73" s="71" t="str">
        <x:v>Total large de 570 recherches/mois ; deux formulations principales à 210 et 170, le reste à 20–30 ou orienté occasion.</x:v>
      </x:c>
      <x:c r="M73" s="71" t="str"/>
      <x:c r="N73" s="71" t="str"/>
      <x:c r="O73" s="71" t="str"/>
      <x:c r="P73" s="71" t="str">
        <x:v>reports/phase0-f20-cuir-maroquinerie-family-20260720-124517-a1.md</x:v>
      </x:c>
      <x:c r="Q73" s="71" t="str"/>
      <x:c r="R73" s="71" t="str">
        <x:v>/Users/Hakim/Documents/Boutiques drop/boutique-pipeline/codex-chasse-clusters/reports/phase0-f20-cuir-maroquinerie-family-20260720-124517-a1.md</x:v>
      </x:c>
    </x:row>
    <x:row r="74" ht="48" customHeight="1">
      <x:c r="A74" s="73" t="str">
        <x:v>EXCLU</x:v>
      </x:c>
      <x:c r="B74" s="72" t="str"/>
      <x:c r="C74" s="71" t="str">
        <x:v>f21-puericulture-motricite-c01-triangle-pikler</x:v>
      </x:c>
      <x:c r="D74" s="71" t="str">
        <x:v>Triangle Pikler</x:v>
      </x:c>
      <x:c r="E74" s="71" t="str">
        <x:v>Puériculture &amp; motricité</x:v>
      </x:c>
      <x:c r="F74" s="72" t="str">
        <x:v>STOP</x:v>
      </x:c>
      <x:c r="G74" s="71" t="str">
        <x:v>Volume</x:v>
      </x:c>
      <x:c r="H74" s="71" t="str">
        <x:v>3 040/mois sur le total large</x:v>
      </x:c>
      <x:c r="I74" s="71" t="str"/>
      <x:c r="J74" s="71" t="str"/>
      <x:c r="K74" s="71" t="str"/>
      <x:c r="L74" s="71" t="str">
        <x:v>3 040/mois sur le total large</x:v>
      </x:c>
      <x:c r="M74" s="71" t="str"/>
      <x:c r="N74" s="71" t="str"/>
      <x:c r="O74" s="71" t="str"/>
      <x:c r="P74" s="71" t="str">
        <x:v>reports/phase2-f21-puericulture-motricite-20260720-124517-a1.md</x:v>
      </x:c>
      <x:c r="Q74" s="71" t="str"/>
      <x:c r="R74" s="71" t="str">
        <x:v>/Users/Hakim/Documents/Boutiques drop/boutique-pipeline/codex-chasse-clusters/registre-candidats.codex.md</x:v>
      </x:c>
    </x:row>
    <x:row r="75" ht="48" customHeight="1">
      <x:c r="A75" s="73" t="str">
        <x:v>EXCLU</x:v>
      </x:c>
      <x:c r="B75" s="72" t="str"/>
      <x:c r="C75" s="71" t="str">
        <x:v>f21-puericulture-motricite-c02-tour-observation</x:v>
      </x:c>
      <x:c r="D75" s="71" t="str">
        <x:v>Tour d'observation Montessori</x:v>
      </x:c>
      <x:c r="E75" s="71" t="str">
        <x:v>Puériculture &amp; motricité</x:v>
      </x:c>
      <x:c r="F75" s="72" t="str">
        <x:v>STOP</x:v>
      </x:c>
      <x:c r="G75" s="71" t="str">
        <x:v>Volume</x:v>
      </x:c>
      <x:c r="H75" s="71" t="str">
        <x:v>4 150/mois sur le total large</x:v>
      </x:c>
      <x:c r="I75" s="71" t="str"/>
      <x:c r="J75" s="71" t="str"/>
      <x:c r="K75" s="71" t="str"/>
      <x:c r="L75" s="71" t="str">
        <x:v>4 150/mois sur le total large</x:v>
      </x:c>
      <x:c r="M75" s="71" t="str"/>
      <x:c r="N75" s="71" t="str"/>
      <x:c r="O75" s="71" t="str"/>
      <x:c r="P75" s="71" t="str">
        <x:v>reports/phase2-f21-puericulture-motricite-20260720-124517-a1.md</x:v>
      </x:c>
      <x:c r="Q75" s="71" t="str"/>
      <x:c r="R75" s="71" t="str">
        <x:v>/Users/Hakim/Documents/Boutiques drop/boutique-pipeline/codex-chasse-clusters/registre-candidats.codex.md</x:v>
      </x:c>
    </x:row>
    <x:row r="76" ht="48" customHeight="1">
      <x:c r="A76" s="73" t="str">
        <x:v>EXCLU</x:v>
      </x:c>
      <x:c r="B76" s="72" t="str"/>
      <x:c r="C76" s="71" t="str">
        <x:v>f22-cuisine-semi-pro-c02-four-pizza-electrique</x:v>
      </x:c>
      <x:c r="D76" s="71" t="str">
        <x:v>Four à pizza électrique</x:v>
      </x:c>
      <x:c r="E76" s="71" t="str">
        <x:v>Cuisine semi-professionnelle</x:v>
      </x:c>
      <x:c r="F76" s="72" t="str">
        <x:v>STOP</x:v>
      </x:c>
      <x:c r="G76" s="71" t="str">
        <x:v>Volume adressable</x:v>
      </x:c>
      <x:c r="H76" s="71" t="str">
        <x:v>Total large 11 150 mais environ 7 000/mois sur formulations produit avant marques/comparatifs</x:v>
      </x:c>
      <x:c r="I76" s="71" t="str"/>
      <x:c r="J76" s="71" t="str"/>
      <x:c r="K76" s="71" t="str"/>
      <x:c r="L76" s="71" t="str">
        <x:v>Total large 11 150 mais environ 7 000/mois sur formulations produit avant marques/comparatifs</x:v>
      </x:c>
      <x:c r="M76" s="71" t="str"/>
      <x:c r="N76" s="71" t="str"/>
      <x:c r="O76" s="71" t="str"/>
      <x:c r="P76" s="71" t="str">
        <x:v>reports/phase2-f22-cuisine-semi-pro-20260720-124517-a1.md</x:v>
      </x:c>
      <x:c r="Q76" s="71" t="str"/>
      <x:c r="R76" s="71" t="str">
        <x:v>/Users/Hakim/Documents/Boutiques drop/boutique-pipeline/codex-chasse-clusters/registre-candidats.codex.md</x:v>
      </x:c>
    </x:row>
    <x:row r="77" ht="48" customHeight="1">
      <x:c r="A77" s="73" t="str">
        <x:v>EXCLU</x:v>
      </x:c>
      <x:c r="B77" s="72" t="str"/>
      <x:c r="C77" s="71" t="str">
        <x:v>f22-cuisine-semi-pro-c03-petrin-professionnel</x:v>
      </x:c>
      <x:c r="D77" s="71" t="str">
        <x:v>Pétrin professionnel</x:v>
      </x:c>
      <x:c r="E77" s="71" t="str">
        <x:v>Cuisine semi-professionnelle</x:v>
      </x:c>
      <x:c r="F77" s="72" t="str">
        <x:v>STOP</x:v>
      </x:c>
      <x:c r="G77" s="71" t="str">
        <x:v>Volume</x:v>
      </x:c>
      <x:c r="H77" s="71" t="str">
        <x:v>2 000/mois sur le total large</x:v>
      </x:c>
      <x:c r="I77" s="71" t="str"/>
      <x:c r="J77" s="71" t="str"/>
      <x:c r="K77" s="71" t="str"/>
      <x:c r="L77" s="71" t="str">
        <x:v>2 000/mois sur le total large</x:v>
      </x:c>
      <x:c r="M77" s="71" t="str"/>
      <x:c r="N77" s="71" t="str"/>
      <x:c r="O77" s="71" t="str"/>
      <x:c r="P77" s="71" t="str">
        <x:v>reports/phase2-f22-cuisine-semi-pro-20260720-124517-a1.md</x:v>
      </x:c>
      <x:c r="Q77" s="71" t="str"/>
      <x:c r="R77" s="71" t="str">
        <x:v>/Users/Hakim/Documents/Boutiques drop/boutique-pipeline/codex-chasse-clusters/registre-candidats.codex.md</x:v>
      </x:c>
    </x:row>
    <x:row r="78" ht="48" customHeight="1">
      <x:c r="A78" s="73" t="str">
        <x:v>EXCLU</x:v>
      </x:c>
      <x:c r="B78" s="72" t="str"/>
      <x:c r="C78" s="71" t="str">
        <x:v>f23-brassage-conservation-c03-sterilisateur-bocaux</x:v>
      </x:c>
      <x:c r="D78" s="71" t="str">
        <x:v>Stérilisateur électrique à bocaux</x:v>
      </x:c>
      <x:c r="E78" s="71" t="str">
        <x:v>Brassage, fermentation &amp; conservation</x:v>
      </x:c>
      <x:c r="F78" s="72" t="str">
        <x:v>STOP</x:v>
      </x:c>
      <x:c r="G78" s="71" t="str">
        <x:v>Volume</x:v>
      </x:c>
      <x:c r="H78" s="71" t="str">
        <x:v>2 830/mois sur le sous-cluster électrique</x:v>
      </x:c>
      <x:c r="I78" s="71" t="str"/>
      <x:c r="J78" s="71" t="str"/>
      <x:c r="K78" s="71" t="str"/>
      <x:c r="L78" s="71" t="str">
        <x:v>2 830/mois sur le sous-cluster électrique</x:v>
      </x:c>
      <x:c r="M78" s="71" t="str"/>
      <x:c r="N78" s="71" t="str"/>
      <x:c r="O78" s="71" t="str"/>
      <x:c r="P78" s="71" t="str">
        <x:v>reports/phase2-f23-brassage-conservation-20260720-124517-a1.md</x:v>
      </x:c>
      <x:c r="Q78" s="71" t="str"/>
      <x:c r="R78" s="71" t="str">
        <x:v>/Users/Hakim/Documents/Boutiques drop/boutique-pipeline/codex-chasse-clusters/registre-candidats.codex.md</x:v>
      </x:c>
    </x:row>
    <x:row r="79" ht="48" customHeight="1">
      <x:c r="A79" s="73" t="str">
        <x:v>EXCLU</x:v>
      </x:c>
      <x:c r="B79" s="72" t="str"/>
      <x:c r="C79" s="71" t="str">
        <x:v>f24-restauration-food-truck-c02-machine-barbe-papa</x:v>
      </x:c>
      <x:c r="D79" s="71" t="str">
        <x:v>Machine à barbe à papa</x:v>
      </x:c>
      <x:c r="E79" s="71" t="str">
        <x:v>Restauration &amp; food truck</x:v>
      </x:c>
      <x:c r="F79" s="72" t="str">
        <x:v>STOP</x:v>
      </x:c>
      <x:c r="G79" s="71" t="str">
        <x:v>Volume adressable</x:v>
      </x:c>
      <x:c r="H79" s="71" t="str">
        <x:v>Total large 14 370 mais environ 6 080/mois sur les formulations produit après location/accessoires</x:v>
      </x:c>
      <x:c r="I79" s="71" t="str"/>
      <x:c r="J79" s="71" t="str"/>
      <x:c r="K79" s="71" t="str"/>
      <x:c r="L79" s="71" t="str">
        <x:v>Total large 14 370 mais environ 6 080/mois sur les formulations produit après location/accessoires</x:v>
      </x:c>
      <x:c r="M79" s="71" t="str"/>
      <x:c r="N79" s="71" t="str"/>
      <x:c r="O79" s="71" t="str"/>
      <x:c r="P79" s="71" t="str">
        <x:v>reports/phase2-f24-restauration-food-truck-20260720-124517-a1.md</x:v>
      </x:c>
      <x:c r="Q79" s="71" t="str"/>
      <x:c r="R79" s="71" t="str">
        <x:v>/Users/Hakim/Documents/Boutiques drop/boutique-pipeline/codex-chasse-clusters/registre-candidats.codex.md</x:v>
      </x:c>
    </x:row>
    <x:row r="80" ht="48" customHeight="1">
      <x:c r="A80" s="73" t="str">
        <x:v>EXCLU</x:v>
      </x:c>
      <x:c r="B80" s="72" t="str"/>
      <x:c r="C80" s="71" t="str">
        <x:v>f24-restauration-food-truck-c03-crepiere-pro</x:v>
      </x:c>
      <x:c r="D80" s="71" t="str">
        <x:v>Crêpière professionnelle</x:v>
      </x:c>
      <x:c r="E80" s="71" t="str">
        <x:v>Restauration &amp; food truck</x:v>
      </x:c>
      <x:c r="F80" s="72" t="str">
        <x:v>STOP</x:v>
      </x:c>
      <x:c r="G80" s="71" t="str">
        <x:v>Volume</x:v>
      </x:c>
      <x:c r="H80" s="71" t="str">
        <x:v>2 570/mois sur le total large</x:v>
      </x:c>
      <x:c r="I80" s="71" t="str"/>
      <x:c r="J80" s="71" t="str"/>
      <x:c r="K80" s="71" t="str"/>
      <x:c r="L80" s="71" t="str">
        <x:v>2 570/mois sur le total large</x:v>
      </x:c>
      <x:c r="M80" s="71" t="str"/>
      <x:c r="N80" s="71" t="str"/>
      <x:c r="O80" s="71" t="str"/>
      <x:c r="P80" s="71" t="str">
        <x:v>reports/phase2-f24-restauration-food-truck-20260720-124517-a1.md</x:v>
      </x:c>
      <x:c r="Q80" s="71" t="str"/>
      <x:c r="R80" s="71" t="str">
        <x:v>/Users/Hakim/Documents/Boutiques drop/boutique-pipeline/codex-chasse-clusters/registre-candidats.codex.md</x:v>
      </x:c>
    </x:row>
    <x:row r="81" ht="48" customHeight="1">
      <x:c r="A81" s="73" t="str">
        <x:v>EXCLU</x:v>
      </x:c>
      <x:c r="B81" s="72" t="str"/>
      <x:c r="C81" s="71" t="str">
        <x:v>f25-fitness-recuperation-c03-plateforme-vibrante</x:v>
      </x:c>
      <x:c r="D81" s="71" t="str">
        <x:v>Plateforme vibrante</x:v>
      </x:c>
      <x:c r="E81" s="71" t="str">
        <x:v>Fitness &amp; récupération</x:v>
      </x:c>
      <x:c r="F81" s="72" t="str">
        <x:v>STOP</x:v>
      </x:c>
      <x:c r="G81" s="71" t="str">
        <x:v>Volume adressable</x:v>
      </x:c>
      <x:c r="H81" s="71" t="str">
        <x:v>Total large 27 850 pollué par avis</x:v>
      </x:c>
      <x:c r="I81" s="71" t="str"/>
      <x:c r="J81" s="71" t="str"/>
      <x:c r="K81" s="71" t="str"/>
      <x:c r="L81" s="71" t="str">
        <x:v>Total large 27 850 pollué par avis, danger, minceur et marques ; tête produit à 4 400/mois et variantes propres sous 10K</x:v>
      </x:c>
      <x:c r="M81" s="71" t="str"/>
      <x:c r="N81" s="71" t="str"/>
      <x:c r="O81" s="71" t="str"/>
      <x:c r="P81" s="71" t="str">
        <x:v>reports/phase2-f25-fitness-recuperation-20260720-124517-a1.md</x:v>
      </x:c>
      <x:c r="Q81" s="71" t="str"/>
      <x:c r="R81" s="71" t="str">
        <x:v>/Users/Hakim/Documents/Boutiques drop/boutique-pipeline/codex-chasse-clusters/registre-candidats.codex.md</x:v>
      </x:c>
    </x:row>
    <x:row r="82" ht="48" customHeight="1">
      <x:c r="A82" s="73" t="str">
        <x:v>EXCLU</x:v>
      </x:c>
      <x:c r="B82" s="72" t="str"/>
      <x:c r="C82" s="71" t="str">
        <x:v>f25-fitness-recuperation-c04-table-inversion</x:v>
      </x:c>
      <x:c r="D82" s="71" t="str">
        <x:v>Table d'inversion</x:v>
      </x:c>
      <x:c r="E82" s="71" t="str">
        <x:v>Fitness &amp; récupération</x:v>
      </x:c>
      <x:c r="F82" s="72" t="str">
        <x:v>STOP</x:v>
      </x:c>
      <x:c r="G82" s="71" t="str">
        <x:v>Volume</x:v>
      </x:c>
      <x:c r="H82" s="71" t="str">
        <x:v>5 930/mois sur le total large</x:v>
      </x:c>
      <x:c r="I82" s="71" t="str"/>
      <x:c r="J82" s="71" t="str"/>
      <x:c r="K82" s="71" t="str"/>
      <x:c r="L82" s="71" t="str">
        <x:v>5 930/mois sur le total large</x:v>
      </x:c>
      <x:c r="M82" s="71" t="str"/>
      <x:c r="N82" s="71" t="str"/>
      <x:c r="O82" s="71" t="str"/>
      <x:c r="P82" s="71" t="str">
        <x:v>reports/phase2-f25-fitness-recuperation-20260720-124517-a1.md</x:v>
      </x:c>
      <x:c r="Q82" s="71" t="str"/>
      <x:c r="R82" s="71" t="str">
        <x:v>/Users/Hakim/Documents/Boutiques drop/boutique-pipeline/codex-chasse-clusters/registre-candidats.codex.md</x:v>
      </x:c>
    </x:row>
    <x:row r="83" ht="48" customHeight="1">
      <x:c r="A83" s="73" t="str">
        <x:v>EXCLU</x:v>
      </x:c>
      <x:c r="B83" s="72" t="str"/>
      <x:c r="C83" s="71" t="str">
        <x:v>f26-bien-etre-materiel-c02-sauna-portable</x:v>
      </x:c>
      <x:c r="D83" s="71" t="str">
        <x:v>Sauna portable</x:v>
      </x:c>
      <x:c r="E83" s="71" t="str">
        <x:v>Bien-être matériel</x:v>
      </x:c>
      <x:c r="F83" s="72" t="str">
        <x:v>STOP</x:v>
      </x:c>
      <x:c r="G83" s="71" t="str">
        <x:v>Volume</x:v>
      </x:c>
      <x:c r="H83" s="71" t="str">
        <x:v>2 530/mois sur le total large</x:v>
      </x:c>
      <x:c r="I83" s="71" t="str"/>
      <x:c r="J83" s="71" t="str"/>
      <x:c r="K83" s="71" t="str"/>
      <x:c r="L83" s="71" t="str">
        <x:v>2 530/mois sur le total large</x:v>
      </x:c>
      <x:c r="M83" s="71" t="str"/>
      <x:c r="N83" s="71" t="str"/>
      <x:c r="O83" s="71" t="str"/>
      <x:c r="P83" s="71" t="str">
        <x:v>reports/phase2-f26-bien-etre-materiel-20260720-124517-a1.md</x:v>
      </x:c>
      <x:c r="Q83" s="71" t="str"/>
      <x:c r="R83" s="71" t="str">
        <x:v>/Users/Hakim/Documents/Boutiques drop/boutique-pipeline/codex-chasse-clusters/registre-candidats.codex.md</x:v>
      </x:c>
    </x:row>
    <x:row r="84" ht="48" customHeight="1">
      <x:c r="A84" s="73" t="str">
        <x:v>EXCLU</x:v>
      </x:c>
      <x:c r="B84" s="72" t="str"/>
      <x:c r="C84" s="71" t="str">
        <x:v>f26-bien-etre-materiel-c03-couverture-sauna</x:v>
      </x:c>
      <x:c r="D84" s="71" t="str">
        <x:v>Couverture sauna infrarouge</x:v>
      </x:c>
      <x:c r="E84" s="71" t="str">
        <x:v>Bien-être matériel</x:v>
      </x:c>
      <x:c r="F84" s="72" t="str">
        <x:v>STOP</x:v>
      </x:c>
      <x:c r="G84" s="71" t="str">
        <x:v>Volume</x:v>
      </x:c>
      <x:c r="H84" s="71" t="str">
        <x:v>1 070/mois sur le total large</x:v>
      </x:c>
      <x:c r="I84" s="71" t="str"/>
      <x:c r="J84" s="71" t="str"/>
      <x:c r="K84" s="71" t="str"/>
      <x:c r="L84" s="71" t="str">
        <x:v>1 070/mois sur le total large</x:v>
      </x:c>
      <x:c r="M84" s="71" t="str"/>
      <x:c r="N84" s="71" t="str"/>
      <x:c r="O84" s="71" t="str"/>
      <x:c r="P84" s="71" t="str">
        <x:v>reports/phase2-f26-bien-etre-materiel-20260720-124517-a1.md</x:v>
      </x:c>
      <x:c r="Q84" s="71" t="str"/>
      <x:c r="R84" s="71" t="str">
        <x:v>/Users/Hakim/Documents/Boutiques drop/boutique-pipeline/codex-chasse-clusters/registre-candidats.codex.md</x:v>
      </x:c>
    </x:row>
    <x:row r="85" ht="48" customHeight="1">
      <x:c r="A85" s="73" t="str">
        <x:v>EXCLU</x:v>
      </x:c>
      <x:c r="B85" s="72" t="str"/>
      <x:c r="C85" s="71" t="str">
        <x:v>f26-bien-etre-materiel-c04-bain-froid</x:v>
      </x:c>
      <x:c r="D85" s="71" t="str">
        <x:v>Bac de bain froid portable</x:v>
      </x:c>
      <x:c r="E85" s="71" t="str">
        <x:v>Bien-être matériel</x:v>
      </x:c>
      <x:c r="F85" s="72" t="str">
        <x:v>STOP</x:v>
      </x:c>
      <x:c r="G85" s="71" t="str">
        <x:v>Volume adressable</x:v>
      </x:c>
      <x:c r="H85" s="71" t="str">
        <x:v>Total large 19 500 mais tête 1 900 ; majorité bénéfices</x:v>
      </x:c>
      <x:c r="I85" s="71" t="str"/>
      <x:c r="J85" s="71" t="str"/>
      <x:c r="K85" s="71" t="str"/>
      <x:c r="L85" s="71" t="str">
        <x:v>Total large 19 500 mais tête 1 900 ; majorité bénéfices, durée, pieds et eau chaude/froide</x:v>
      </x:c>
      <x:c r="M85" s="71" t="str"/>
      <x:c r="N85" s="71" t="str"/>
      <x:c r="O85" s="71" t="str"/>
      <x:c r="P85" s="71" t="str">
        <x:v>reports/phase2-f26-bien-etre-materiel-20260720-124517-a1.md</x:v>
      </x:c>
      <x:c r="Q85" s="71" t="str"/>
      <x:c r="R85" s="71" t="str">
        <x:v>/Users/Hakim/Documents/Boutiques drop/boutique-pipeline/codex-chasse-clusters/registre-candidats.codex.md</x:v>
      </x:c>
    </x:row>
    <x:row r="86" ht="48" customHeight="1">
      <x:c r="A86" s="73" t="str">
        <x:v>EXCLU</x:v>
      </x:c>
      <x:c r="B86" s="72" t="str"/>
      <x:c r="C86" s="71" t="str">
        <x:v>f26-bien-etre-materiel-c05-lampe-luminotherapie</x:v>
      </x:c>
      <x:c r="D86" s="71" t="str">
        <x:v>Lampe de luminothérapie</x:v>
      </x:c>
      <x:c r="E86" s="71" t="str">
        <x:v>Bien-être matériel</x:v>
      </x:c>
      <x:c r="F86" s="72" t="str">
        <x:v>STOP</x:v>
      </x:c>
      <x:c r="G86" s="71" t="str">
        <x:v>Volume</x:v>
      </x:c>
      <x:c r="H86" s="71" t="str">
        <x:v>5 260/mois sur le total large</x:v>
      </x:c>
      <x:c r="I86" s="71" t="str"/>
      <x:c r="J86" s="71" t="str"/>
      <x:c r="K86" s="71" t="str"/>
      <x:c r="L86" s="71" t="str">
        <x:v>5 260/mois sur le total large</x:v>
      </x:c>
      <x:c r="M86" s="71" t="str"/>
      <x:c r="N86" s="71" t="str"/>
      <x:c r="O86" s="71" t="str"/>
      <x:c r="P86" s="71" t="str">
        <x:v>reports/phase2-f26-bien-etre-materiel-20260720-124517-a1.md</x:v>
      </x:c>
      <x:c r="Q86" s="71" t="str"/>
      <x:c r="R86" s="71" t="str">
        <x:v>/Users/Hakim/Documents/Boutiques drop/boutique-pipeline/codex-chasse-clusters/registre-candidats.codex.md</x:v>
      </x:c>
    </x:row>
    <x:row r="87" ht="48" customHeight="1">
      <x:c r="A87" s="73" t="str">
        <x:v>EXCLU</x:v>
      </x:c>
      <x:c r="B87" s="72" t="str"/>
      <x:c r="C87" s="71" t="str">
        <x:v>f27-esthetique-coiffure-c02-fauteuil-coiffure</x:v>
      </x:c>
      <x:c r="D87" s="71" t="str">
        <x:v>Fauteuil de coiffure</x:v>
      </x:c>
      <x:c r="E87" s="71" t="str">
        <x:v>Esthétique &amp; coiffure pro</x:v>
      </x:c>
      <x:c r="F87" s="72" t="str">
        <x:v>STOP</x:v>
      </x:c>
      <x:c r="G87" s="71" t="str">
        <x:v>Volume adressable</x:v>
      </x:c>
      <x:c r="H87" s="71" t="str">
        <x:v>Total large 11 040 mais moins de 5 000/mois sur formulations commerciales visibles après retrait location/occasion/marques/questions</x:v>
      </x:c>
      <x:c r="I87" s="71" t="str"/>
      <x:c r="J87" s="71" t="str"/>
      <x:c r="K87" s="71" t="str"/>
      <x:c r="L87" s="71" t="str">
        <x:v>Total large 11 040 mais moins de 5 000/mois sur formulations commerciales visibles après retrait location/occasion/marques/questions</x:v>
      </x:c>
      <x:c r="M87" s="71" t="str"/>
      <x:c r="N87" s="71" t="str"/>
      <x:c r="O87" s="71" t="str"/>
      <x:c r="P87" s="71" t="str">
        <x:v>reports/phase2-f27-esthetique-coiffure-20260720-124517-a1.md</x:v>
      </x:c>
      <x:c r="Q87" s="71" t="str"/>
      <x:c r="R87" s="71" t="str">
        <x:v>/Users/Hakim/Documents/Boutiques drop/boutique-pipeline/codex-chasse-clusters/registre-candidats.codex.md</x:v>
      </x:c>
    </x:row>
    <x:row r="88" ht="48" customHeight="1">
      <x:c r="A88" s="73" t="str">
        <x:v>EXCLU</x:v>
      </x:c>
      <x:c r="B88" s="72" t="str"/>
      <x:c r="C88" s="71" t="str">
        <x:v>f27-esthetique-coiffure-c03-bac-shampoing</x:v>
      </x:c>
      <x:c r="D88" s="71" t="str">
        <x:v>Bac à shampoing coiffure</x:v>
      </x:c>
      <x:c r="E88" s="71" t="str">
        <x:v>Esthétique &amp; coiffure pro</x:v>
      </x:c>
      <x:c r="F88" s="72" t="str">
        <x:v>STOP</x:v>
      </x:c>
      <x:c r="G88" s="71" t="str">
        <x:v>Volume</x:v>
      </x:c>
      <x:c r="H88" s="71" t="str">
        <x:v>1 080/mois sur le total large</x:v>
      </x:c>
      <x:c r="I88" s="71" t="str"/>
      <x:c r="J88" s="71" t="str"/>
      <x:c r="K88" s="71" t="str"/>
      <x:c r="L88" s="71" t="str">
        <x:v>1 080/mois sur le total large</x:v>
      </x:c>
      <x:c r="M88" s="71" t="str"/>
      <x:c r="N88" s="71" t="str"/>
      <x:c r="O88" s="71" t="str"/>
      <x:c r="P88" s="71" t="str">
        <x:v>reports/phase2-f27-esthetique-coiffure-20260720-124517-a1.md</x:v>
      </x:c>
      <x:c r="Q88" s="71" t="str"/>
      <x:c r="R88" s="71" t="str">
        <x:v>/Users/Hakim/Documents/Boutiques drop/boutique-pipeline/codex-chasse-clusters/registre-candidats.codex.md</x:v>
      </x:c>
    </x:row>
    <x:row r="89" ht="48" customHeight="1">
      <x:c r="A89" s="73" t="str">
        <x:v>EXCLU</x:v>
      </x:c>
      <x:c r="B89" s="72" t="str"/>
      <x:c r="C89" s="71" t="str">
        <x:v>f27-esthetique-coiffure-c04-table-manucure</x:v>
      </x:c>
      <x:c r="D89" s="71" t="str">
        <x:v>Table de manucure</x:v>
      </x:c>
      <x:c r="E89" s="71" t="str">
        <x:v>Esthétique &amp; coiffure pro</x:v>
      </x:c>
      <x:c r="F89" s="72" t="str">
        <x:v>STOP</x:v>
      </x:c>
      <x:c r="G89" s="71" t="str">
        <x:v>Volume</x:v>
      </x:c>
      <x:c r="H89" s="71" t="str">
        <x:v>8 860/mois sur le total large avant retrait IKEA/occasion/accessoires</x:v>
      </x:c>
      <x:c r="I89" s="71" t="str"/>
      <x:c r="J89" s="71" t="str"/>
      <x:c r="K89" s="71" t="str"/>
      <x:c r="L89" s="71" t="str">
        <x:v>8 860/mois sur le total large avant retrait IKEA/occasion/accessoires</x:v>
      </x:c>
      <x:c r="M89" s="71" t="str"/>
      <x:c r="N89" s="71" t="str"/>
      <x:c r="O89" s="71" t="str"/>
      <x:c r="P89" s="71" t="str">
        <x:v>reports/phase2-f27-esthetique-coiffure-20260720-124517-a1.md</x:v>
      </x:c>
      <x:c r="Q89" s="71" t="str"/>
      <x:c r="R89" s="71" t="str">
        <x:v>/Users/Hakim/Documents/Boutiques drop/boutique-pipeline/codex-chasse-clusters/registre-candidats.codex.md</x:v>
      </x:c>
    </x:row>
    <x:row r="90" ht="48" customHeight="1">
      <x:c r="A90" s="73" t="str">
        <x:v>EXCLU</x:v>
      </x:c>
      <x:c r="B90" s="72" t="str"/>
      <x:c r="C90" s="71" t="str">
        <x:v>f27-esthetique-coiffure-c05-casque-seche-cheveux</x:v>
      </x:c>
      <x:c r="D90" s="71" t="str">
        <x:v>Casque sèche-cheveux professionnel</x:v>
      </x:c>
      <x:c r="E90" s="71" t="str">
        <x:v>Esthétique &amp; coiffure pro</x:v>
      </x:c>
      <x:c r="F90" s="72" t="str">
        <x:v>STOP</x:v>
      </x:c>
      <x:c r="G90" s="71" t="str">
        <x:v>Volume</x:v>
      </x:c>
      <x:c r="H90" s="71" t="str">
        <x:v>5 290/mois sur le total large</x:v>
      </x:c>
      <x:c r="I90" s="71" t="str"/>
      <x:c r="J90" s="71" t="str"/>
      <x:c r="K90" s="71" t="str"/>
      <x:c r="L90" s="71" t="str">
        <x:v>5 290/mois sur le total large, professionnel nettement inférieur</x:v>
      </x:c>
      <x:c r="M90" s="71" t="str"/>
      <x:c r="N90" s="71" t="str"/>
      <x:c r="O90" s="71" t="str"/>
      <x:c r="P90" s="71" t="str">
        <x:v>reports/phase2-f27-esthetique-coiffure-20260720-124517-a1.md</x:v>
      </x:c>
      <x:c r="Q90" s="71" t="str"/>
      <x:c r="R90" s="71" t="str">
        <x:v>/Users/Hakim/Documents/Boutiques drop/boutique-pipeline/codex-chasse-clusters/registre-candidats.codex.md</x:v>
      </x:c>
    </x:row>
    <x:row r="91" ht="48" customHeight="1">
      <x:c r="A91" s="73" t="str">
        <x:v>EXCLU</x:v>
      </x:c>
      <x:c r="B91" s="72" t="str"/>
      <x:c r="C91" s="71" t="str">
        <x:v>f28-home-studio-musique-c03-batterie-electronique</x:v>
      </x:c>
      <x:c r="D91" s="71" t="str">
        <x:v>Batterie électronique adulte</x:v>
      </x:c>
      <x:c r="E91" s="71" t="str">
        <x:v>Home studio &amp; musique</x:v>
      </x:c>
      <x:c r="F91" s="72" t="str">
        <x:v>STOP</x:v>
      </x:c>
      <x:c r="G91" s="71" t="str">
        <x:v>Volume adressable</x:v>
      </x:c>
      <x:c r="H91" s="71" t="str">
        <x:v>Tête 8 100/mois ; total large pollué par cigarettes électroniques</x:v>
      </x:c>
      <x:c r="I91" s="71" t="str"/>
      <x:c r="J91" s="71" t="str"/>
      <x:c r="K91" s="71" t="str"/>
      <x:c r="L91" s="71" t="str">
        <x:v>Tête 8 100/mois ; total large pollué par cigarettes électroniques, jouets, marques et occasion</x:v>
      </x:c>
      <x:c r="M91" s="71" t="str"/>
      <x:c r="N91" s="71" t="str"/>
      <x:c r="O91" s="71" t="str"/>
      <x:c r="P91" s="71" t="str">
        <x:v>reports/phase2-f28-home-studio-musique-20260720-124517-a1.md</x:v>
      </x:c>
      <x:c r="Q91" s="71" t="str"/>
      <x:c r="R91" s="71" t="str">
        <x:v>/Users/Hakim/Documents/Boutiques drop/boutique-pipeline/codex-chasse-clusters/registre-candidats.codex.md</x:v>
      </x:c>
    </x:row>
    <x:row r="92" ht="48" customHeight="1">
      <x:c r="A92" s="73" t="str">
        <x:v>EXCLU</x:v>
      </x:c>
      <x:c r="B92" s="72" t="str"/>
      <x:c r="C92" s="71" t="str">
        <x:v>f28-home-studio-musique-c04-controleur-dj</x:v>
      </x:c>
      <x:c r="D92" s="71" t="str">
        <x:v>Contrôleur DJ</x:v>
      </x:c>
      <x:c r="E92" s="71" t="str">
        <x:v>Home studio &amp; musique</x:v>
      </x:c>
      <x:c r="F92" s="72" t="str">
        <x:v>STOP</x:v>
      </x:c>
      <x:c r="G92" s="71" t="str">
        <x:v>Volume adressable</x:v>
      </x:c>
      <x:c r="H92" s="71" t="str">
        <x:v>Total large 11 130 mais environ 5 000/mois sur formulations génériques visibles avant marques/logiciels/occasion</x:v>
      </x:c>
      <x:c r="I92" s="71" t="str"/>
      <x:c r="J92" s="71" t="str"/>
      <x:c r="K92" s="71" t="str"/>
      <x:c r="L92" s="71" t="str">
        <x:v>Total large 11 130 mais environ 5 000/mois sur formulations génériques visibles avant marques/logiciels/occasion</x:v>
      </x:c>
      <x:c r="M92" s="71" t="str"/>
      <x:c r="N92" s="71" t="str"/>
      <x:c r="O92" s="71" t="str"/>
      <x:c r="P92" s="71" t="str">
        <x:v>reports/phase2-f28-home-studio-musique-20260720-124517-a1.md</x:v>
      </x:c>
      <x:c r="Q92" s="71" t="str"/>
      <x:c r="R92" s="71" t="str">
        <x:v>/Users/Hakim/Documents/Boutiques drop/boutique-pipeline/codex-chasse-clusters/registre-candidats.codex.md</x:v>
      </x:c>
    </x:row>
    <x:row r="93" ht="48" customHeight="1">
      <x:c r="A93" s="73" t="str">
        <x:v>EXCLU</x:v>
      </x:c>
      <x:c r="B93" s="72" t="str"/>
      <x:c r="C93" s="71" t="str">
        <x:v>f29-photo-video-c02-teleprompteur</x:v>
      </x:c>
      <x:c r="D93" s="71" t="str">
        <x:v>Téléprompteur</x:v>
      </x:c>
      <x:c r="E93" s="71" t="str">
        <x:v>Photo, vidéo &amp; éclairage</x:v>
      </x:c>
      <x:c r="F93" s="72" t="str">
        <x:v>STOP</x:v>
      </x:c>
      <x:c r="G93" s="71" t="str">
        <x:v>Volume</x:v>
      </x:c>
      <x:c r="H93" s="71" t="str">
        <x:v>940/mois sur le total large</x:v>
      </x:c>
      <x:c r="I93" s="71" t="str"/>
      <x:c r="J93" s="71" t="str"/>
      <x:c r="K93" s="71" t="str"/>
      <x:c r="L93" s="71" t="str">
        <x:v>940/mois sur le total large</x:v>
      </x:c>
      <x:c r="M93" s="71" t="str"/>
      <x:c r="N93" s="71" t="str"/>
      <x:c r="O93" s="71" t="str"/>
      <x:c r="P93" s="71" t="str">
        <x:v>reports/phase2-f29-photo-video-20260720-124517-a1.md</x:v>
      </x:c>
      <x:c r="Q93" s="71" t="str"/>
      <x:c r="R93" s="71" t="str">
        <x:v>/Users/Hakim/Documents/Boutiques drop/boutique-pipeline/codex-chasse-clusters/registre-candidats.codex.md</x:v>
      </x:c>
    </x:row>
    <x:row r="94" ht="48" customHeight="1">
      <x:c r="A94" s="73" t="str">
        <x:v>EXCLU</x:v>
      </x:c>
      <x:c r="B94" s="72" t="str"/>
      <x:c r="C94" s="71" t="str">
        <x:v>f29-photo-video-c03-photobooth-360</x:v>
      </x:c>
      <x:c r="D94" s="71" t="str">
        <x:v>Photobooth 360</x:v>
      </x:c>
      <x:c r="E94" s="71" t="str">
        <x:v>Photo, vidéo &amp; éclairage</x:v>
      </x:c>
      <x:c r="F94" s="72" t="str">
        <x:v>STOP</x:v>
      </x:c>
      <x:c r="G94" s="71" t="str">
        <x:v>Volume</x:v>
      </x:c>
      <x:c r="H94" s="71" t="str">
        <x:v>2 360/mois sur le total large</x:v>
      </x:c>
      <x:c r="I94" s="71" t="str"/>
      <x:c r="J94" s="71" t="str"/>
      <x:c r="K94" s="71" t="str"/>
      <x:c r="L94" s="71" t="str">
        <x:v>2 360/mois sur le total large, part location/rental</x:v>
      </x:c>
      <x:c r="M94" s="71" t="str"/>
      <x:c r="N94" s="71" t="str"/>
      <x:c r="O94" s="71" t="str"/>
      <x:c r="P94" s="71" t="str">
        <x:v>reports/phase2-f29-photo-video-20260720-124517-a1.md</x:v>
      </x:c>
      <x:c r="Q94" s="71" t="str"/>
      <x:c r="R94" s="71" t="str">
        <x:v>/Users/Hakim/Documents/Boutiques drop/boutique-pipeline/codex-chasse-clusters/registre-candidats.codex.md</x:v>
      </x:c>
    </x:row>
    <x:row r="95" ht="48" customHeight="1">
      <x:c r="A95" s="73" t="str">
        <x:v>EXCLU</x:v>
      </x:c>
      <x:c r="B95" s="72" t="str"/>
      <x:c r="C95" s="71" t="str">
        <x:v>f29-photo-video-c04-kit-eclairage-studio</x:v>
      </x:c>
      <x:c r="D95" s="71" t="str">
        <x:v>Kit éclairage studio</x:v>
      </x:c>
      <x:c r="E95" s="71" t="str">
        <x:v>Photo, vidéo &amp; éclairage</x:v>
      </x:c>
      <x:c r="F95" s="72" t="str">
        <x:v>STOP</x:v>
      </x:c>
      <x:c r="G95" s="71" t="str">
        <x:v>Volume</x:v>
      </x:c>
      <x:c r="H95" s="71" t="str">
        <x:v>70/mois sur le total large</x:v>
      </x:c>
      <x:c r="I95" s="71" t="str"/>
      <x:c r="J95" s="71" t="str"/>
      <x:c r="K95" s="71" t="str"/>
      <x:c r="L95" s="71" t="str">
        <x:v>70/mois sur le total large</x:v>
      </x:c>
      <x:c r="M95" s="71" t="str"/>
      <x:c r="N95" s="71" t="str"/>
      <x:c r="O95" s="71" t="str"/>
      <x:c r="P95" s="71" t="str">
        <x:v>reports/phase2-f29-photo-video-20260720-124517-a1.md</x:v>
      </x:c>
      <x:c r="Q95" s="71" t="str"/>
      <x:c r="R95" s="71" t="str">
        <x:v>/Users/Hakim/Documents/Boutiques drop/boutique-pipeline/codex-chasse-clusters/registre-candidats.codex.md</x:v>
      </x:c>
    </x:row>
    <x:row r="96" ht="48" customHeight="1">
      <x:c r="A96" s="73" t="str">
        <x:v>EXCLU</x:v>
      </x:c>
      <x:c r="B96" s="72" t="str"/>
      <x:c r="C96" s="71" t="str">
        <x:v>f30-astronomie-optique-c03-jumelles-vision-nocturne</x:v>
      </x:c>
      <x:c r="D96" s="71" t="str">
        <x:v>Jumelles de vision nocturne</x:v>
      </x:c>
      <x:c r="E96" s="71" t="str">
        <x:v>Astronomie &amp; optique</x:v>
      </x:c>
      <x:c r="F96" s="72" t="str">
        <x:v>STOP</x:v>
      </x:c>
      <x:c r="G96" s="71" t="str">
        <x:v>Volume adressable</x:v>
      </x:c>
      <x:c r="H96" s="71" t="str">
        <x:v>Environ 7 560/mois sur les formulations génériques matérielles après retrait marques</x:v>
      </x:c>
      <x:c r="I96" s="71" t="str"/>
      <x:c r="J96" s="71" t="str"/>
      <x:c r="K96" s="71" t="str"/>
      <x:c r="L96" s="71" t="str">
        <x:v>Environ 7 560/mois sur les formulations génériques matérielles après retrait marques, militaire et intentions non commerciales</x:v>
      </x:c>
      <x:c r="M96" s="71" t="str"/>
      <x:c r="N96" s="71" t="str"/>
      <x:c r="O96" s="71" t="str"/>
      <x:c r="P96" s="71" t="str">
        <x:v>reports/phase2-f30-astronomie-optique-20260720-124517-a1.md</x:v>
      </x:c>
      <x:c r="Q96" s="71" t="str"/>
      <x:c r="R96" s="71" t="str">
        <x:v>/Users/Hakim/Documents/Boutiques drop/boutique-pipeline/codex-chasse-clusters/registre-candidats.codex.md</x:v>
      </x:c>
    </x:row>
    <x:row r="97" ht="48" customHeight="1">
      <x:c r="A97" s="73" t="str">
        <x:v>EXCLU</x:v>
      </x:c>
      <x:c r="B97" s="72" t="str"/>
      <x:c r="C97" s="71" t="str">
        <x:v>f31-modelisme-rc-c02-voiture-rc</x:v>
      </x:c>
      <x:c r="D97" s="71" t="str">
        <x:v>Voiture radiocommandée adulte</x:v>
      </x:c>
      <x:c r="E97" s="71" t="str">
        <x:v>Modélisme &amp; radiocommandé</x:v>
      </x:c>
      <x:c r="F97" s="72" t="str">
        <x:v>STOP</x:v>
      </x:c>
      <x:c r="G97" s="71" t="str">
        <x:v>Volume adressable</x:v>
      </x:c>
      <x:c r="H97" s="71" t="str">
        <x:v>Tête 1 900/mois ; variantes tout-terrain et drift portent moins de 3 000 supplémentaires avant retrait jouets/marques</x:v>
      </x:c>
      <x:c r="I97" s="71" t="str"/>
      <x:c r="J97" s="71" t="str"/>
      <x:c r="K97" s="71" t="str"/>
      <x:c r="L97" s="71" t="str">
        <x:v>Tête 1 900/mois ; variantes tout-terrain et drift portent moins de 3 000 supplémentaires avant retrait jouets/marques</x:v>
      </x:c>
      <x:c r="M97" s="71" t="str"/>
      <x:c r="N97" s="71" t="str"/>
      <x:c r="O97" s="71" t="str"/>
      <x:c r="P97" s="71" t="str">
        <x:v>reports/phase2-f31-modelisme-rc-20260720-124517-a1.md</x:v>
      </x:c>
      <x:c r="Q97" s="71" t="str"/>
      <x:c r="R97" s="71" t="str">
        <x:v>/Users/Hakim/Documents/Boutiques drop/boutique-pipeline/codex-chasse-clusters/registre-candidats.codex.md</x:v>
      </x:c>
    </x:row>
    <x:row r="98" ht="48" customHeight="1">
      <x:c r="A98" s="73" t="str">
        <x:v>EXCLU</x:v>
      </x:c>
      <x:c r="B98" s="72" t="str"/>
      <x:c r="C98" s="71" t="str">
        <x:v>f31-modelisme-rc-c03-avion-rc</x:v>
      </x:c>
      <x:c r="D98" s="71" t="str">
        <x:v>Avion radiocommandé</x:v>
      </x:c>
      <x:c r="E98" s="71" t="str">
        <x:v>Modélisme &amp; radiocommandé</x:v>
      </x:c>
      <x:c r="F98" s="72" t="str">
        <x:v>STOP</x:v>
      </x:c>
      <x:c r="G98" s="71" t="str">
        <x:v>Volume</x:v>
      </x:c>
      <x:c r="H98" s="71" t="str">
        <x:v>2 950/mois sur le total large</x:v>
      </x:c>
      <x:c r="I98" s="71" t="str"/>
      <x:c r="J98" s="71" t="str"/>
      <x:c r="K98" s="71" t="str"/>
      <x:c r="L98" s="71" t="str">
        <x:v>2 950/mois sur le total large</x:v>
      </x:c>
      <x:c r="M98" s="71" t="str"/>
      <x:c r="N98" s="71" t="str"/>
      <x:c r="O98" s="71" t="str"/>
      <x:c r="P98" s="71" t="str">
        <x:v>reports/phase2-f31-modelisme-rc-20260720-124517-a1.md</x:v>
      </x:c>
      <x:c r="Q98" s="71" t="str"/>
      <x:c r="R98" s="71" t="str">
        <x:v>/Users/Hakim/Documents/Boutiques drop/boutique-pipeline/codex-chasse-clusters/registre-candidats.codex.md</x:v>
      </x:c>
    </x:row>
    <x:row r="99" ht="48" customHeight="1">
      <x:c r="A99" s="73" t="str">
        <x:v>EXCLU</x:v>
      </x:c>
      <x:c r="B99" s="72" t="str"/>
      <x:c r="C99" s="71" t="str">
        <x:v>f31-modelisme-rc-c04-train-electrique</x:v>
      </x:c>
      <x:c r="D99" s="71" t="str">
        <x:v>Train électrique miniature adulte</x:v>
      </x:c>
      <x:c r="E99" s="71" t="str">
        <x:v>Modélisme &amp; radiocommandé</x:v>
      </x:c>
      <x:c r="F99" s="72" t="str">
        <x:v>STOP</x:v>
      </x:c>
      <x:c r="G99" s="71" t="str">
        <x:v>Volume adressable</x:v>
      </x:c>
      <x:c r="H99" s="71" t="str">
        <x:v>Tête 3 600/mois ; total large pollué par anglais</x:v>
      </x:c>
      <x:c r="I99" s="71" t="str"/>
      <x:c r="J99" s="71" t="str"/>
      <x:c r="K99" s="71" t="str"/>
      <x:c r="L99" s="71" t="str">
        <x:v>Tête 3 600/mois ; total large pollué par anglais, chansons, Lego, enfants et Noël ; segment adulte propre sous 10K</x:v>
      </x:c>
      <x:c r="M99" s="71" t="str"/>
      <x:c r="N99" s="71" t="str"/>
      <x:c r="O99" s="71" t="str"/>
      <x:c r="P99" s="71" t="str">
        <x:v>reports/phase2-f31-modelisme-rc-20260720-124517-a1.md</x:v>
      </x:c>
      <x:c r="Q99" s="71" t="str"/>
      <x:c r="R99" s="71" t="str">
        <x:v>/Users/Hakim/Documents/Boutiques drop/boutique-pipeline/codex-chasse-clusters/registre-candidats.codex.md</x:v>
      </x:c>
    </x:row>
    <x:row r="100" ht="48" customHeight="1">
      <x:c r="A100" s="73" t="str">
        <x:v>EXCLU</x:v>
      </x:c>
      <x:c r="B100" s="72" t="str"/>
      <x:c r="C100" s="71" t="str">
        <x:v>f32-camping-van-c02-station-electrique-portable</x:v>
      </x:c>
      <x:c r="D100" s="71" t="str">
        <x:v>Station électrique portable</x:v>
      </x:c>
      <x:c r="E100" s="71" t="str">
        <x:v>Camping, van &amp; bivouac</x:v>
      </x:c>
      <x:c r="F100" s="72" t="str">
        <x:v>STOP</x:v>
      </x:c>
      <x:c r="G100" s="71" t="str">
        <x:v>Volume</x:v>
      </x:c>
      <x:c r="H100" s="71" t="str">
        <x:v>1 700/mois sur le total large</x:v>
      </x:c>
      <x:c r="I100" s="71" t="str"/>
      <x:c r="J100" s="71" t="str"/>
      <x:c r="K100" s="71" t="str"/>
      <x:c r="L100" s="71" t="str">
        <x:v>1 700/mois sur le total large</x:v>
      </x:c>
      <x:c r="M100" s="71" t="str"/>
      <x:c r="N100" s="71" t="str"/>
      <x:c r="O100" s="71" t="str"/>
      <x:c r="P100" s="71" t="str">
        <x:v>reports/phase2-f32-camping-van-20260720-124517-a1.md</x:v>
      </x:c>
      <x:c r="Q100" s="71" t="str"/>
      <x:c r="R100" s="71" t="str">
        <x:v>/Users/Hakim/Documents/Boutiques drop/boutique-pipeline/codex-chasse-clusters/registre-candidats.codex.md</x:v>
      </x:c>
    </x:row>
    <x:row r="101" ht="48" customHeight="1">
      <x:c r="A101" s="73" t="str">
        <x:v>EXCLU</x:v>
      </x:c>
      <x:c r="B101" s="72" t="str"/>
      <x:c r="C101" s="71" t="str">
        <x:v>f33-chasse-peche-nature-c02-sondeur-peche</x:v>
      </x:c>
      <x:c r="D101" s="71" t="str">
        <x:v>Sondeur de pêche</x:v>
      </x:c>
      <x:c r="E101" s="71" t="str">
        <x:v>Chasse, pêche &amp; nature</x:v>
      </x:c>
      <x:c r="F101" s="72" t="str">
        <x:v>STOP</x:v>
      </x:c>
      <x:c r="G101" s="71" t="str">
        <x:v>Volume</x:v>
      </x:c>
      <x:c r="H101" s="71" t="str">
        <x:v>6 090/mois sur le total large</x:v>
      </x:c>
      <x:c r="I101" s="71" t="str"/>
      <x:c r="J101" s="71" t="str"/>
      <x:c r="K101" s="71" t="str"/>
      <x:c r="L101" s="71" t="str">
        <x:v>6 090/mois sur le total large</x:v>
      </x:c>
      <x:c r="M101" s="71" t="str"/>
      <x:c r="N101" s="71" t="str"/>
      <x:c r="O101" s="71" t="str"/>
      <x:c r="P101" s="71" t="str">
        <x:v>reports/phase2-f33-chasse-peche-nature-20260720-124517-a1.md</x:v>
      </x:c>
      <x:c r="Q101" s="71" t="str"/>
      <x:c r="R101" s="71" t="str">
        <x:v>/Users/Hakim/Documents/Boutiques drop/boutique-pipeline/codex-chasse-clusters/registre-candidats.codex.md</x:v>
      </x:c>
    </x:row>
    <x:row r="102" ht="48" customHeight="1">
      <x:c r="A102" s="73" t="str">
        <x:v>EXCLU</x:v>
      </x:c>
      <x:c r="B102" s="72" t="str"/>
      <x:c r="C102" s="71" t="str">
        <x:v>f33-chasse-peche-nature-c03-monoculaire-thermique</x:v>
      </x:c>
      <x:c r="D102" s="71" t="str">
        <x:v>Monoculaire thermique</x:v>
      </x:c>
      <x:c r="E102" s="71" t="str">
        <x:v>Chasse, pêche &amp; nature</x:v>
      </x:c>
      <x:c r="F102" s="72" t="str">
        <x:v>STOP</x:v>
      </x:c>
      <x:c r="G102" s="71" t="str">
        <x:v>Volume</x:v>
      </x:c>
      <x:c r="H102" s="71" t="str">
        <x:v>4 400/mois sur le total large</x:v>
      </x:c>
      <x:c r="I102" s="71" t="str"/>
      <x:c r="J102" s="71" t="str"/>
      <x:c r="K102" s="71" t="str"/>
      <x:c r="L102" s="71" t="str">
        <x:v>4 400/mois sur le total large</x:v>
      </x:c>
      <x:c r="M102" s="71" t="str"/>
      <x:c r="N102" s="71" t="str"/>
      <x:c r="O102" s="71" t="str"/>
      <x:c r="P102" s="71" t="str">
        <x:v>reports/phase2-f33-chasse-peche-nature-20260720-124517-a1.md</x:v>
      </x:c>
      <x:c r="Q102" s="71" t="str"/>
      <x:c r="R102" s="71" t="str">
        <x:v>/Users/Hakim/Documents/Boutiques drop/boutique-pipeline/codex-chasse-clusters/registre-candidats.codex.md</x:v>
      </x:c>
    </x:row>
    <x:row r="103" ht="48" customHeight="1">
      <x:c r="A103" s="73" t="str">
        <x:v>EXCLU</x:v>
      </x:c>
      <x:c r="B103" s="72" t="str"/>
      <x:c r="C103" s="71" t="str">
        <x:v>f33-chasse-peche-nature-c04-bateau-amorceur</x:v>
      </x:c>
      <x:c r="D103" s="71" t="str">
        <x:v>Bateau amorceur GPS/sondeur</x:v>
      </x:c>
      <x:c r="E103" s="71" t="str">
        <x:v>Chasse, pêche &amp; nature</x:v>
      </x:c>
      <x:c r="F103" s="72" t="str">
        <x:v>STOP</x:v>
      </x:c>
      <x:c r="G103" s="71" t="str">
        <x:v>Anti-doublon historique</x:v>
      </x:c>
      <x:c r="H103" s="71" t="str"/>
      <x:c r="I103" s="71" t="str"/>
      <x:c r="J103" s="71" t="str"/>
      <x:c r="K103" s="71" t="str"/>
      <x:c r="L103" s="71" t="str">
        <x:v>Registre original : environ 4 390 recherches pertinentes sur le segment, déjà fermé ; générique non attribuable au GPS/sondeur</x:v>
      </x:c>
      <x:c r="M103" s="71" t="str"/>
      <x:c r="N103" s="71" t="str"/>
      <x:c r="O103" s="71" t="str"/>
      <x:c r="P103" s="71" t="str">
        <x:v>reports/phase2-f33-chasse-peche-nature-20260720-124517-a1.md</x:v>
      </x:c>
      <x:c r="Q103" s="71" t="str"/>
      <x:c r="R103" s="71" t="str">
        <x:v>/Users/Hakim/Documents/Boutiques drop/boutique-pipeline/codex-chasse-clusters/registre-candidats.codex.md</x:v>
      </x:c>
    </x:row>
    <x:row r="104" ht="48" customHeight="1">
      <x:c r="A104" s="73" t="str">
        <x:v>EXCLU</x:v>
      </x:c>
      <x:c r="B104" s="72" t="str"/>
      <x:c r="C104" s="71" t="str">
        <x:v>f34-velo-mobilite-c03-remorque-enfant</x:v>
      </x:c>
      <x:c r="D104" s="71" t="str">
        <x:v>Remorque vélo enfant</x:v>
      </x:c>
      <x:c r="E104" s="71" t="str">
        <x:v>Vélo &amp; mobilité douce</x:v>
      </x:c>
      <x:c r="F104" s="72" t="str">
        <x:v>STOP</x:v>
      </x:c>
      <x:c r="G104" s="71" t="str">
        <x:v>Volume</x:v>
      </x:c>
      <x:c r="H104" s="71" t="str">
        <x:v>7 010/mois sur le total large</x:v>
      </x:c>
      <x:c r="I104" s="71" t="str"/>
      <x:c r="J104" s="71" t="str"/>
      <x:c r="K104" s="71" t="str"/>
      <x:c r="L104" s="71" t="str">
        <x:v>7 010/mois sur le total large</x:v>
      </x:c>
      <x:c r="M104" s="71" t="str"/>
      <x:c r="N104" s="71" t="str"/>
      <x:c r="O104" s="71" t="str"/>
      <x:c r="P104" s="71" t="str">
        <x:v>reports/phase2-f34-velo-mobilite-20260720-124517-a1.md</x:v>
      </x:c>
      <x:c r="Q104" s="71" t="str"/>
      <x:c r="R104" s="71" t="str">
        <x:v>/Users/Hakim/Documents/Boutiques drop/boutique-pipeline/codex-chasse-clusters/registre-candidats.codex.md</x:v>
      </x:c>
    </x:row>
    <x:row r="105" ht="48" customHeight="1">
      <x:c r="A105" s="73" t="str">
        <x:v>EXCLU</x:v>
      </x:c>
      <x:c r="B105" s="72" t="str"/>
      <x:c r="C105" s="71" t="str">
        <x:v>f34-velo-mobilite-c04-pied-atelier</x:v>
      </x:c>
      <x:c r="D105" s="71" t="str">
        <x:v>Pied d'atelier vélo</x:v>
      </x:c>
      <x:c r="E105" s="71" t="str">
        <x:v>Vélo &amp; mobilité douce</x:v>
      </x:c>
      <x:c r="F105" s="72" t="str">
        <x:v>STOP</x:v>
      </x:c>
      <x:c r="G105" s="71" t="str">
        <x:v>Volume</x:v>
      </x:c>
      <x:c r="H105" s="71" t="str">
        <x:v>7 520/mois sur le total large avant nettoyage marques/questions</x:v>
      </x:c>
      <x:c r="I105" s="71" t="str"/>
      <x:c r="J105" s="71" t="str"/>
      <x:c r="K105" s="71" t="str"/>
      <x:c r="L105" s="71" t="str">
        <x:v>7 520/mois sur le total large avant nettoyage marques/questions</x:v>
      </x:c>
      <x:c r="M105" s="71" t="str"/>
      <x:c r="N105" s="71" t="str"/>
      <x:c r="O105" s="71" t="str"/>
      <x:c r="P105" s="71" t="str">
        <x:v>reports/phase2-f34-velo-mobilite-20260720-124517-a1.md</x:v>
      </x:c>
      <x:c r="Q105" s="71" t="str"/>
      <x:c r="R105" s="71" t="str">
        <x:v>/Users/Hakim/Documents/Boutiques drop/boutique-pipeline/codex-chasse-clusters/registre-candidats.codex.md</x:v>
      </x:c>
    </x:row>
    <x:row r="106" ht="48" customHeight="1">
      <x:c r="A106" s="73" t="str">
        <x:v>EXCLU</x:v>
      </x:c>
      <x:c r="B106" s="72" t="str"/>
      <x:c r="C106" s="71" t="str">
        <x:v>f35-domotique-securite-c03-serrure-connectee</x:v>
      </x:c>
      <x:c r="D106" s="71" t="str">
        <x:v>Serrure connectée</x:v>
      </x:c>
      <x:c r="E106" s="71" t="str">
        <x:v>Domotique &amp; sécurité</x:v>
      </x:c>
      <x:c r="F106" s="72" t="str">
        <x:v>STOP</x:v>
      </x:c>
      <x:c r="G106" s="71" t="str">
        <x:v>Volume</x:v>
      </x:c>
      <x:c r="H106" s="71" t="str">
        <x:v>3 540/mois sur le total large</x:v>
      </x:c>
      <x:c r="I106" s="71" t="str"/>
      <x:c r="J106" s="71" t="str"/>
      <x:c r="K106" s="71" t="str"/>
      <x:c r="L106" s="71" t="str">
        <x:v>3 540/mois sur le total large</x:v>
      </x:c>
      <x:c r="M106" s="71" t="str"/>
      <x:c r="N106" s="71" t="str"/>
      <x:c r="O106" s="71" t="str"/>
      <x:c r="P106" s="71" t="str">
        <x:v>reports/phase2-f35-domotique-securite-20260720-124517-a1.md</x:v>
      </x:c>
      <x:c r="Q106" s="71" t="str"/>
      <x:c r="R106" s="71" t="str">
        <x:v>/Users/Hakim/Documents/Boutiques drop/boutique-pipeline/codex-chasse-clusters/registre-candidats.codex.md</x:v>
      </x:c>
    </x:row>
    <x:row r="107" ht="48" customHeight="1">
      <x:c r="A107" s="73" t="str">
        <x:v>EXCLU</x:v>
      </x:c>
      <x:c r="B107" s="72" t="str"/>
      <x:c r="C107" s="71" t="str">
        <x:v>f35-domotique-securite-c04-kit-camera</x:v>
      </x:c>
      <x:c r="D107" s="71" t="str">
        <x:v>Kit de caméras de surveillance</x:v>
      </x:c>
      <x:c r="E107" s="71" t="str">
        <x:v>Domotique &amp; sécurité</x:v>
      </x:c>
      <x:c r="F107" s="72" t="str">
        <x:v>STOP</x:v>
      </x:c>
      <x:c r="G107" s="71" t="str">
        <x:v>Volume</x:v>
      </x:c>
      <x:c r="H107" s="71" t="str">
        <x:v>5 660/mois sur le total large</x:v>
      </x:c>
      <x:c r="I107" s="71" t="str"/>
      <x:c r="J107" s="71" t="str"/>
      <x:c r="K107" s="71" t="str"/>
      <x:c r="L107" s="71" t="str">
        <x:v>5 660/mois sur le total large</x:v>
      </x:c>
      <x:c r="M107" s="71" t="str"/>
      <x:c r="N107" s="71" t="str"/>
      <x:c r="O107" s="71" t="str"/>
      <x:c r="P107" s="71" t="str">
        <x:v>reports/phase2-f35-domotique-securite-20260720-124517-a1.md</x:v>
      </x:c>
      <x:c r="Q107" s="71" t="str"/>
      <x:c r="R107" s="71" t="str">
        <x:v>/Users/Hakim/Documents/Boutiques drop/boutique-pipeline/codex-chasse-clusters/registre-candidats.codex.md</x:v>
      </x:c>
    </x:row>
    <x:row r="108" ht="48" customHeight="1">
      <x:c r="A108" s="73" t="str">
        <x:v>EXCLU</x:v>
      </x:c>
      <x:c r="B108" s="72" t="str"/>
      <x:c r="C108" s="71" t="str">
        <x:v>f36-nettoyage-technique-c02-nettoyeur-ultrason</x:v>
      </x:c>
      <x:c r="D108" s="71" t="str">
        <x:v>Bac nettoyeur ultrasons 10–30 L</x:v>
      </x:c>
      <x:c r="E108" s="71" t="str">
        <x:v>Nettoyage technique</x:v>
      </x:c>
      <x:c r="F108" s="72" t="str">
        <x:v>STOP</x:v>
      </x:c>
      <x:c r="G108" s="71" t="str">
        <x:v>Volume du sous-segment</x:v>
      </x:c>
      <x:c r="H108" s="71" t="str"/>
      <x:c r="I108" s="71" t="str"/>
      <x:c r="J108" s="71" t="str"/>
      <x:c r="K108" s="71" t="str"/>
      <x:c r="L108" s="71" t="str">
        <x:v>Le générique est dominé par bijoux/lunettes ; 10 L et 30 L ne portent que quelques centaines de recherches explicites</x:v>
      </x:c>
      <x:c r="M108" s="71" t="str"/>
      <x:c r="N108" s="71" t="str"/>
      <x:c r="O108" s="71" t="str"/>
      <x:c r="P108" s="71" t="str">
        <x:v>reports/phase2-f36-nettoyage-technique-20260720-124517-a1.md</x:v>
      </x:c>
      <x:c r="Q108" s="71" t="str"/>
      <x:c r="R108" s="71" t="str">
        <x:v>/Users/Hakim/Documents/Boutiques drop/boutique-pipeline/codex-chasse-clusters/registre-candidats.codex.md</x:v>
      </x:c>
    </x:row>
    <x:row r="109" ht="48" customHeight="1">
      <x:c r="A109" s="73" t="str">
        <x:v>EXCLU</x:v>
      </x:c>
      <x:c r="B109" s="72" t="str"/>
      <x:c r="C109" s="71" t="str">
        <x:v>f37-rangement-modulaire-c03-table-basse-relevable</x:v>
      </x:c>
      <x:c r="D109" s="71" t="str">
        <x:v>Table basse relevable</x:v>
      </x:c>
      <x:c r="E109" s="71" t="str">
        <x:v>Rangement modulaire &amp; mobilier transformable</x:v>
      </x:c>
      <x:c r="F109" s="72" t="str">
        <x:v>STOP</x:v>
      </x:c>
      <x:c r="G109" s="71" t="str">
        <x:v>Preuve volume</x:v>
      </x:c>
      <x:c r="H109" s="71" t="str"/>
      <x:c r="I109" s="71" t="str"/>
      <x:c r="J109" s="71" t="str"/>
      <x:c r="K109" s="71" t="str"/>
      <x:c r="L109" s="71" t="str">
        <x:v>Collecte SEMrush interrompue avant lecture validée ; aucun chiffre extrapolé</x:v>
      </x:c>
      <x:c r="M109" s="71" t="str"/>
      <x:c r="N109" s="71" t="str"/>
      <x:c r="O109" s="71" t="str"/>
      <x:c r="P109" s="71" t="str">
        <x:v>reports/phase2-f37-rangement-modulaire-20260720-124517-a1.md</x:v>
      </x:c>
      <x:c r="Q109" s="71" t="str"/>
      <x:c r="R109" s="71" t="str">
        <x:v>/Users/Hakim/Documents/Boutiques drop/boutique-pipeline/codex-chasse-clusters/registre-candidats.codex.md</x:v>
      </x:c>
    </x:row>
    <x:row r="110" ht="48" customHeight="1">
      <x:c r="A110" s="73" t="str">
        <x:v>EXCLU</x:v>
      </x:c>
      <x:c r="B110" s="72" t="str"/>
      <x:c r="C110" s="71" t="str">
        <x:v>f38-eclairage-decoratif-c03-panneau-led-mural</x:v>
      </x:c>
      <x:c r="D110" s="71" t="str">
        <x:v>Panneaux LED muraux décoratifs</x:v>
      </x:c>
      <x:c r="E110" s="71" t="str">
        <x:v>Éclairage décoratif &amp; scénographie</x:v>
      </x:c>
      <x:c r="F110" s="72" t="str">
        <x:v>STOP</x:v>
      </x:c>
      <x:c r="G110" s="71" t="str">
        <x:v>Volume</x:v>
      </x:c>
      <x:c r="H110" s="71" t="str">
        <x:v>880/mois sur le total large</x:v>
      </x:c>
      <x:c r="I110" s="71" t="str"/>
      <x:c r="J110" s="71" t="str"/>
      <x:c r="K110" s="71" t="str"/>
      <x:c r="L110" s="71" t="str">
        <x:v>880/mois sur le total large, tête à 260</x:v>
      </x:c>
      <x:c r="M110" s="71" t="str"/>
      <x:c r="N110" s="71" t="str"/>
      <x:c r="O110" s="71" t="str"/>
      <x:c r="P110" s="71" t="str">
        <x:v>reports/phase2-f38-eclairage-decoratif-20260720-124517-a1.md</x:v>
      </x:c>
      <x:c r="Q110" s="71" t="str"/>
      <x:c r="R110" s="71" t="str">
        <x:v>/Users/Hakim/Documents/Boutiques drop/boutique-pipeline/codex-chasse-clusters/registre-candidats.codex.md</x:v>
      </x:c>
    </x:row>
    <x:row r="111" ht="48" customHeight="1">
      <x:c r="A111" s="73" t="str">
        <x:v>EXCLU</x:v>
      </x:c>
      <x:c r="B111" s="72" t="str"/>
      <x:c r="C111" s="71" t="str">
        <x:v>f39-evenementiel-c01-barnum-3x6</x:v>
      </x:c>
      <x:c r="D111" s="71" t="str">
        <x:v>Barnum pliant 3×6 m</x:v>
      </x:c>
      <x:c r="E111" s="71" t="str">
        <x:v>Événementiel &amp; réception</x:v>
      </x:c>
      <x:c r="F111" s="72" t="str">
        <x:v>STOP</x:v>
      </x:c>
      <x:c r="G111" s="71" t="str">
        <x:v>Volume</x:v>
      </x:c>
      <x:c r="H111" s="71" t="str">
        <x:v>5 490/mois sur le total large</x:v>
      </x:c>
      <x:c r="I111" s="71" t="str"/>
      <x:c r="J111" s="71" t="str"/>
      <x:c r="K111" s="71" t="str"/>
      <x:c r="L111" s="71" t="str">
        <x:v>5 490/mois sur le total large</x:v>
      </x:c>
      <x:c r="M111" s="71" t="str"/>
      <x:c r="N111" s="71" t="str"/>
      <x:c r="O111" s="71" t="str"/>
      <x:c r="P111" s="71" t="str">
        <x:v>reports/phase2-f39-evenementiel-20260720-124517-a1.md</x:v>
      </x:c>
      <x:c r="Q111" s="71" t="str"/>
      <x:c r="R111" s="71" t="str">
        <x:v>/Users/Hakim/Documents/Boutiques drop/boutique-pipeline/codex-chasse-clusters/registre-candidats.codex.md</x:v>
      </x:c>
    </x:row>
    <x:row r="112" ht="48" customHeight="1">
      <x:c r="A112" s="73" t="str">
        <x:v>EXCLU</x:v>
      </x:c>
      <x:c r="B112" s="72" t="str"/>
      <x:c r="C112" s="71" t="str">
        <x:v>f39-evenementiel-c02-chauffage-terrasse-infrarouge</x:v>
      </x:c>
      <x:c r="D112" s="71" t="str">
        <x:v>Chauffage de terrasse infrarouge</x:v>
      </x:c>
      <x:c r="E112" s="71" t="str">
        <x:v>Événementiel &amp; réception</x:v>
      </x:c>
      <x:c r="F112" s="72" t="str">
        <x:v>STOP</x:v>
      </x:c>
      <x:c r="G112" s="71" t="str">
        <x:v>Volume</x:v>
      </x:c>
      <x:c r="H112" s="71" t="str">
        <x:v>560/mois sur le sous-segment propre</x:v>
      </x:c>
      <x:c r="I112" s="71" t="str"/>
      <x:c r="J112" s="71" t="str"/>
      <x:c r="K112" s="71" t="str"/>
      <x:c r="L112" s="71" t="str">
        <x:v>560/mois sur le sous-segment propre</x:v>
      </x:c>
      <x:c r="M112" s="71" t="str"/>
      <x:c r="N112" s="71" t="str"/>
      <x:c r="O112" s="71" t="str"/>
      <x:c r="P112" s="71" t="str">
        <x:v>reports/phase2-f39-evenementiel-20260720-124517-a1.md</x:v>
      </x:c>
      <x:c r="Q112" s="71" t="str"/>
      <x:c r="R112" s="71" t="str">
        <x:v>/Users/Hakim/Documents/Boutiques drop/boutique-pipeline/codex-chasse-clusters/registre-candidats.codex.md</x:v>
      </x:c>
    </x:row>
    <x:row r="113" ht="48" customHeight="1">
      <x:c r="A113" s="73" t="str">
        <x:v>EXCLU</x:v>
      </x:c>
      <x:c r="B113" s="72" t="str"/>
      <x:c r="C113" s="71" t="str">
        <x:v>f39-evenementiel-c03-chauffage-terrasse-gaz</x:v>
      </x:c>
      <x:c r="D113" s="71" t="str">
        <x:v>Chauffage de terrasse au gaz</x:v>
      </x:c>
      <x:c r="E113" s="71" t="str">
        <x:v>Événementiel &amp; réception</x:v>
      </x:c>
      <x:c r="F113" s="72" t="str">
        <x:v>STOP</x:v>
      </x:c>
      <x:c r="G113" s="71" t="str">
        <x:v>Volume</x:v>
      </x:c>
      <x:c r="H113" s="71" t="str">
        <x:v>6 730/mois sur le sous-segment propre</x:v>
      </x:c>
      <x:c r="I113" s="71" t="str"/>
      <x:c r="J113" s="71" t="str"/>
      <x:c r="K113" s="71" t="str"/>
      <x:c r="L113" s="71" t="str">
        <x:v>6 730/mois sur le sous-segment propre</x:v>
      </x:c>
      <x:c r="M113" s="71" t="str"/>
      <x:c r="N113" s="71" t="str"/>
      <x:c r="O113" s="71" t="str"/>
      <x:c r="P113" s="71" t="str">
        <x:v>reports/phase2-f39-evenementiel-20260720-124517-a1.md</x:v>
      </x:c>
      <x:c r="Q113" s="71" t="str"/>
      <x:c r="R113" s="71" t="str">
        <x:v>/Users/Hakim/Documents/Boutiques drop/boutique-pipeline/codex-chasse-clusters/registre-candidats.codex.md</x:v>
      </x:c>
    </x:row>
    <x:row r="114" ht="48" customHeight="1">
      <x:c r="A114" s="73" t="str">
        <x:v>EXCLU</x:v>
      </x:c>
      <x:c r="B114" s="72" t="str"/>
      <x:c r="C114" s="71" t="str">
        <x:v>f39-evenementiel-c04-machine-fumee-lourde</x:v>
      </x:c>
      <x:c r="D114" s="71" t="str">
        <x:v>Machine à fumée lourde</x:v>
      </x:c>
      <x:c r="E114" s="71" t="str">
        <x:v>Événementiel &amp; réception</x:v>
      </x:c>
      <x:c r="F114" s="72" t="str">
        <x:v>STOP</x:v>
      </x:c>
      <x:c r="G114" s="71" t="str">
        <x:v>Volume</x:v>
      </x:c>
      <x:c r="H114" s="71" t="str">
        <x:v>320/mois sur le total large</x:v>
      </x:c>
      <x:c r="I114" s="71" t="str"/>
      <x:c r="J114" s="71" t="str"/>
      <x:c r="K114" s="71" t="str"/>
      <x:c r="L114" s="71" t="str">
        <x:v>320/mois sur le total large</x:v>
      </x:c>
      <x:c r="M114" s="71" t="str"/>
      <x:c r="N114" s="71" t="str"/>
      <x:c r="O114" s="71" t="str"/>
      <x:c r="P114" s="71" t="str">
        <x:v>reports/phase2-f39-evenementiel-20260720-124517-a1.md</x:v>
      </x:c>
      <x:c r="Q114" s="71" t="str"/>
      <x:c r="R114" s="71" t="str">
        <x:v>/Users/Hakim/Documents/Boutiques drop/boutique-pipeline/codex-chasse-clusters/registre-candidats.codex.md</x:v>
      </x:c>
    </x:row>
    <x:row r="115" ht="48" customHeight="1">
      <x:c r="A115" s="73" t="str">
        <x:v>EXCLU</x:v>
      </x:c>
      <x:c r="B115" s="72" t="str"/>
      <x:c r="C115" s="71" t="str">
        <x:v>f40-autonomie-agricole-c01-fendeuse-buche-electrique</x:v>
      </x:c>
      <x:c r="D115" s="71" t="str">
        <x:v>Fendeuse de bûches électrique</x:v>
      </x:c>
      <x:c r="E115" s="71" t="str">
        <x:v>Agriculture de loisir &amp; autonomie</x:v>
      </x:c>
      <x:c r="F115" s="72" t="str">
        <x:v>STOP</x:v>
      </x:c>
      <x:c r="G115" s="71" t="str">
        <x:v>Volume adressable</x:v>
      </x:c>
      <x:c r="H115" s="71" t="str">
        <x:v>Environ 7 840/mois au maximum même en attribuant généreusement les têtes génériques à l'électrique</x:v>
      </x:c>
      <x:c r="I115" s="71" t="str"/>
      <x:c r="J115" s="71" t="str"/>
      <x:c r="K115" s="71" t="str"/>
      <x:c r="L115" s="71" t="str">
        <x:v>Environ 7 840/mois au maximum même en attribuant généreusement les têtes génériques à l'électrique</x:v>
      </x:c>
      <x:c r="M115" s="71" t="str"/>
      <x:c r="N115" s="71" t="str"/>
      <x:c r="O115" s="71" t="str"/>
      <x:c r="P115" s="71" t="str">
        <x:v>reports/phase2-f40-autonomie-agricole-20260720-124517-a1.md</x:v>
      </x:c>
      <x:c r="Q115" s="71" t="str"/>
      <x:c r="R115" s="71" t="str">
        <x:v>/Users/Hakim/Documents/Boutiques drop/boutique-pipeline/codex-chasse-clusters/registre-candidats.codex.md</x:v>
      </x:c>
    </x:row>
  </x:sheetData>
  <x:mergeCells>
    <x:mergeCell ref="A1:R1"/>
    <x:mergeCell ref="A2:R2"/>
    <x:mergeCell ref="A3:R3"/>
  </x:mergeCells>
  <x:conditionalFormatting sqref="A6:R115">
    <x:cfRule type="expression" dxfId="0" priority="1">
      <x:formula>$A6="VALIDÉ"</x:formula>
    </x:cfRule>
    <x:cfRule type="expression" dxfId="1" priority="2">
      <x:formula>$A6="CREUSÉ"</x:formula>
    </x:cfRule>
    <x:cfRule type="expression" dxfId="2" priority="3">
      <x:formula>$A6="EXCLU"</x:formula>
    </x:cfRule>
  </x:conditionalFormatting>
  <x:dataValidations count="1">
    <x:dataValidation type="list" sqref="A6:A115">
      <x:formula1>"VALIDÉ,CREUSÉ,EXCLU"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efb270a6814112"/>
  </x:tableParts>
</x:worksheet>
</file>