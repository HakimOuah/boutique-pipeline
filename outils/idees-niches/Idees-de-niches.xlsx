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Guide" sheetId="1" state="visible" r:id="rId1"/>
    <sheet name="🗂 Index" sheetId="2" state="visible" r:id="rId2"/>
    <sheet name="🧩 MODÈLE" sheetId="3" state="visible" r:id="rId3"/>
    <sheet name="Abri chat extérieur (U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#,##0.00&quot; €&quot;"/>
    <numFmt numFmtId="166" formatCode="&quot;£&quot;#,##0.00"/>
  </numFmts>
  <fonts count="12">
    <font>
      <name val="Calibri"/>
      <family val="2"/>
      <color theme="1"/>
      <sz val="11"/>
      <scheme val="minor"/>
    </font>
    <font>
      <b val="1"/>
      <color rgb="001F5E3A"/>
      <sz val="20"/>
    </font>
    <font>
      <i val="1"/>
      <color rgb="009CA3AF"/>
    </font>
    <font>
      <b val="1"/>
      <color rgb="001F5E3A"/>
      <sz val="13"/>
    </font>
    <font>
      <b val="1"/>
      <color rgb="001F2937"/>
    </font>
    <font>
      <b val="1"/>
    </font>
    <font>
      <b val="1"/>
      <color rgb="001F5E3A"/>
      <sz val="18"/>
    </font>
    <font>
      <b val="1"/>
      <color rgb="00FFFFFF"/>
      <sz val="11"/>
    </font>
    <font>
      <b val="1"/>
      <color rgb="009CA3AF"/>
      <sz val="9"/>
    </font>
    <font>
      <color rgb="009CA3AF"/>
      <sz val="9"/>
    </font>
    <font>
      <color rgb="002563EB"/>
      <u val="single"/>
    </font>
    <font>
      <color rgb="001F2937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F5E3A"/>
      </patternFill>
    </fill>
    <fill>
      <patternFill patternType="solid">
        <fgColor rgb="00F8FAFC"/>
      </patternFill>
    </fill>
    <fill>
      <patternFill patternType="solid">
        <fgColor rgb="00FFF7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0" borderId="0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5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8" fillId="0" borderId="0" pivotButton="0" quotePrefix="0" xfId="0"/>
    <xf numFmtId="0" fontId="4" fillId="7" borderId="1" pivotButton="0" quotePrefix="0" xfId="0"/>
    <xf numFmtId="0" fontId="0" fillId="8" borderId="1" pivotButton="0" quotePrefix="0" xfId="0"/>
    <xf numFmtId="0" fontId="9" fillId="0" borderId="0" pivotButton="0" quotePrefix="0" xfId="0"/>
    <xf numFmtId="164" fontId="9" fillId="0" borderId="0" pivotButton="0" quotePrefix="0" xfId="0"/>
    <xf numFmtId="9" fontId="9" fillId="0" borderId="0" pivotButton="0" quotePrefix="0" xfId="0"/>
    <xf numFmtId="0" fontId="11" fillId="0" borderId="1" pivotButton="0" quotePrefix="0" xfId="0"/>
    <xf numFmtId="0" fontId="1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6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FFFFFF"/>
      </font>
      <fill>
        <patternFill patternType="solid">
          <fgColor rgb="001F5E3A"/>
        </patternFill>
      </fill>
    </dxf>
    <dxf>
      <font>
        <b val="1"/>
        <color rgb="001F2937"/>
      </font>
      <fill>
        <patternFill patternType="solid">
          <fgColor rgb="00ECFDF5"/>
        </patternFill>
      </fill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0" customWidth="1" min="3" max="3"/>
  </cols>
  <sheetData>
    <row r="2">
      <c r="B2" s="1" t="inlineStr">
        <is>
          <t>Idées de niches — carnet de recherche</t>
        </is>
      </c>
    </row>
    <row r="3">
      <c r="B3" s="2" t="inlineStr">
        <is>
          <t>Une feuille par niche. Dupliquer l'onglet « 🧩 MODÈLE », le renommer, puis l'ajouter à l'index.</t>
        </is>
      </c>
    </row>
    <row r="5">
      <c r="B5" s="3" t="inlineStr">
        <is>
          <t>Comment ça marche</t>
        </is>
      </c>
      <c r="C5" s="4" t="inlineStr"/>
    </row>
    <row r="6">
      <c r="B6" s="5" t="inlineStr">
        <is>
          <t>1. Dupliquer</t>
        </is>
      </c>
      <c r="C6" s="4" t="inlineStr">
        <is>
          <t>Clic droit sur l'onglet « 🧩 MODÈLE » → Dupliquer → renommer avec le nom de la niche (ex. « Abri chat extérieur »).</t>
        </is>
      </c>
    </row>
    <row r="7">
      <c r="B7" s="5" t="inlineStr">
        <is>
          <t>2. En-tête de niche</t>
        </is>
      </c>
      <c r="C7" s="4" t="inlineStr">
        <is>
          <t>Remplir le bloc du haut : nom, mode (PRODUIT PUR ou UNIVERS), marché, statut, date. Le mode pilote les seuils automatiquement.</t>
        </is>
      </c>
    </row>
    <row r="8">
      <c r="B8" s="5" t="inlineStr">
        <is>
          <t>3. Arborescence</t>
        </is>
      </c>
      <c r="C8" s="4" t="inlineStr">
        <is>
          <t>Une ligne par mot-clé. Colonne A = niveau : Mot-clé principal → Collection → Produit. Les couleurs se mettent toutes seules.</t>
        </is>
      </c>
    </row>
    <row r="9">
      <c r="B9" s="5" t="inlineStr">
        <is>
          <t>4. Volumes</t>
        </is>
      </c>
      <c r="C9" s="4" t="inlineStr">
        <is>
          <t>Colonne D = volume mensuel DataForSEO (jamais SEMrush). Le seuil (E) et le verdict (F) se calculent seuls : PASS ≥ seuil, REVIEW dans la bande −20 %, STOP en dessous.</t>
        </is>
      </c>
    </row>
    <row r="10">
      <c r="B10" s="5" t="inlineStr">
        <is>
          <t>5. Produits</t>
        </is>
      </c>
      <c r="C10" s="4" t="inlineStr">
        <is>
          <t>Pour chaque ligne Produit : lien AliExpress (G), prix fournisseur (H), prix cible (I), marge indicative (J, calculée). Un lien suffit, le sourcing complet vient après le PASS.</t>
        </is>
      </c>
    </row>
    <row r="11">
      <c r="B11" s="5" t="inlineStr">
        <is>
          <t>6. Index</t>
        </is>
      </c>
      <c r="C11" s="4" t="inlineStr">
        <is>
          <t>Dans « 🗂 Index », taper le nom exact de l'onglet en colonne A : mode, statut, mot-clé principal, volume, compteurs et verdict remontent automatiquement.</t>
        </is>
      </c>
    </row>
    <row r="12">
      <c r="B12" s="5" t="inlineStr"/>
      <c r="C12" s="4" t="inlineStr"/>
    </row>
    <row r="13">
      <c r="B13" s="3" t="inlineStr">
        <is>
          <t>Seuils du parc (DataForSEO, France ; appliqués tels quels au UK)</t>
        </is>
      </c>
      <c r="C13" s="4" t="inlineStr"/>
    </row>
    <row r="14">
      <c r="B14" s="5" t="inlineStr">
        <is>
          <t>PRODUIT PUR</t>
        </is>
      </c>
      <c r="C14" s="4" t="inlineStr">
        <is>
          <t>Mot-clé principal ≥ 12 500 recherches/mois (cluster adressable, MAX du groupe, jamais la somme).</t>
        </is>
      </c>
    </row>
    <row r="15">
      <c r="B15" s="5" t="inlineStr">
        <is>
          <t>UNIVERS</t>
        </is>
      </c>
      <c r="C15" s="4" t="inlineStr">
        <is>
          <t>Volume consolidé des familles ≥ 37 500/mois (confort 50 000). Une tête seule ne mesure pas un univers.</t>
        </is>
      </c>
    </row>
    <row r="16">
      <c r="B16" s="5" t="inlineStr">
        <is>
          <t>Bande REVIEW</t>
        </is>
      </c>
      <c r="C16" s="4" t="inlineStr">
        <is>
          <t>Entre 80 % et 100 % du seuil → REVIEW, à remonter, jamais tranché en silence.</t>
        </is>
      </c>
    </row>
    <row r="17">
      <c r="B17" s="5" t="inlineStr">
        <is>
          <t>Règle d'or</t>
        </is>
      </c>
      <c r="C17" s="4" t="inlineStr">
        <is>
          <t>On ne somme jamais des volumes bruts Google : les variantes proches sont déjà agrégées. On prend le MAX par groupe.</t>
        </is>
      </c>
    </row>
    <row r="18">
      <c r="B18" s="5" t="inlineStr"/>
      <c r="C18" s="4" t="inlineStr"/>
    </row>
    <row r="19">
      <c r="B19" s="3" t="inlineStr">
        <is>
          <t>Niveaux et couleurs</t>
        </is>
      </c>
      <c r="C19" s="4" t="inlineStr"/>
    </row>
    <row r="20">
      <c r="B20" s="5" t="inlineStr">
        <is>
          <t>Mot-clé principal</t>
        </is>
      </c>
      <c r="C20" s="4" t="inlineStr">
        <is>
          <t>Ligne vert foncé — la tête de la niche. Une seule par feuille (deux si deux têtes candidates).</t>
        </is>
      </c>
    </row>
    <row r="21">
      <c r="B21" s="5" t="inlineStr">
        <is>
          <t>Collection</t>
        </is>
      </c>
      <c r="C21" s="4" t="inlineStr">
        <is>
          <t>Ligne vert pâle — un rayon de la boutique (mode UNIVERS) ou une famille du produit (mode PRODUIT PUR).</t>
        </is>
      </c>
    </row>
    <row r="22">
      <c r="B22" s="5" t="inlineStr">
        <is>
          <t>Produit</t>
        </is>
      </c>
      <c r="C22" s="4" t="inlineStr">
        <is>
          <t>Ligne blanche — un produit précis, avec son lien AliExpress.</t>
        </is>
      </c>
    </row>
    <row r="23">
      <c r="B23" s="5" t="inlineStr"/>
      <c r="C23" s="4" t="inlineStr"/>
    </row>
    <row r="24">
      <c r="B24" s="5" t="inlineStr">
        <is>
          <t>Statuts</t>
        </is>
      </c>
      <c r="C24" s="4" t="inlineStr">
        <is>
          <t>Idée → Mesure en cours → PASS → REVIEW → STOP → Sourcing → GO_FINAL / NO_GO_FINAL (les GO restent une décision de Hakim).</t>
        </is>
      </c>
    </row>
    <row r="28">
      <c r="B28" s="6" t="inlineStr">
        <is>
          <t>Légende verdict</t>
        </is>
      </c>
    </row>
    <row r="29">
      <c r="B29" s="7" t="inlineStr">
        <is>
          <t>PASS</t>
        </is>
      </c>
    </row>
    <row r="30">
      <c r="B30" s="8" t="inlineStr">
        <is>
          <t>REVIEW</t>
        </is>
      </c>
    </row>
    <row r="31">
      <c r="B31" s="9" t="inlineStr">
        <is>
          <t>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/>
  </sheetPr>
  <dimension ref="A1:M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8" customWidth="1" min="4" max="4"/>
    <col width="30" customWidth="1" min="5" max="5"/>
    <col width="14" customWidth="1" min="6" max="6"/>
    <col width="10" customWidth="1" min="7" max="7"/>
    <col width="11" customWidth="1" min="8" max="8"/>
    <col width="12" customWidth="1" min="9" max="9"/>
    <col width="10" customWidth="1" min="10" max="10"/>
    <col width="14" customWidth="1" min="11" max="11"/>
    <col width="16" customWidth="1" min="12" max="12"/>
    <col width="40" customWidth="1" min="13" max="13"/>
  </cols>
  <sheetData>
    <row r="1">
      <c r="A1" s="10" t="inlineStr">
        <is>
          <t>Index des niches</t>
        </is>
      </c>
    </row>
    <row r="2">
      <c r="A2" s="2" t="inlineStr">
        <is>
          <t>Colonne A = nom exact de l'onglet. Le reste remonte tout seul.</t>
        </is>
      </c>
    </row>
    <row r="4" ht="30" customHeight="1">
      <c r="A4" s="11" t="inlineStr">
        <is>
          <t>Onglet (nom exact)</t>
        </is>
      </c>
      <c r="B4" s="11" t="inlineStr">
        <is>
          <t>Mode</t>
        </is>
      </c>
      <c r="C4" s="11" t="inlineStr">
        <is>
          <t>Marché</t>
        </is>
      </c>
      <c r="D4" s="11" t="inlineStr">
        <is>
          <t>Statut</t>
        </is>
      </c>
      <c r="E4" s="11" t="inlineStr">
        <is>
          <t>Mot-clé principal</t>
        </is>
      </c>
      <c r="F4" s="11" t="inlineStr">
        <is>
          <t>Volume principal</t>
        </is>
      </c>
      <c r="G4" s="11" t="inlineStr">
        <is>
          <t>Seuil</t>
        </is>
      </c>
      <c r="H4" s="11" t="inlineStr">
        <is>
          <t>Verdict</t>
        </is>
      </c>
      <c r="I4" s="11" t="inlineStr">
        <is>
          <t>Collections</t>
        </is>
      </c>
      <c r="J4" s="11" t="inlineStr">
        <is>
          <t>Produits</t>
        </is>
      </c>
      <c r="K4" s="11" t="inlineStr">
        <is>
          <t>Produits avec lien</t>
        </is>
      </c>
      <c r="L4" s="11" t="inlineStr">
        <is>
          <t>Dernière mise à jour</t>
        </is>
      </c>
      <c r="M4" s="11" t="inlineStr">
        <is>
          <t>Note</t>
        </is>
      </c>
    </row>
    <row r="5">
      <c r="A5" s="12" t="inlineStr">
        <is>
          <t>Abri chat extérieur (UK)</t>
        </is>
      </c>
      <c r="B5" s="12">
        <f>IFERROR(IF($A5="","",INDIRECT("'"&amp;$A5&amp;"'!C3")),"")</f>
        <v/>
      </c>
      <c r="C5" s="12">
        <f>IFERROR(IF($A5="","",INDIRECT("'"&amp;$A5&amp;"'!C4")),"")</f>
        <v/>
      </c>
      <c r="D5" s="12">
        <f>IFERROR(IF($A5="","",INDIRECT("'"&amp;$A5&amp;"'!F3")),"")</f>
        <v/>
      </c>
      <c r="E5" s="12">
        <f>IFERROR(IF($A5="","",INDEX(INDIRECT("'"&amp;$A5&amp;"'!C8:C80"),MATCH("Mot-clé principal",INDIRECT("'"&amp;$A5&amp;"'!A8:A80"),0))),"")</f>
        <v/>
      </c>
      <c r="F5" s="13">
        <f>IFERROR(IF($A5="","",INDEX(INDIRECT("'"&amp;$A5&amp;"'!D8:D80"),MATCH("Mot-clé principal",INDIRECT("'"&amp;$A5&amp;"'!A8:A80"),0))),"")</f>
        <v/>
      </c>
      <c r="G5" s="13">
        <f>IFERROR(IF($A5="","",INDEX(INDIRECT("'"&amp;$A5&amp;"'!E8:E80"),MATCH("Mot-clé principal",INDIRECT("'"&amp;$A5&amp;"'!A8:A80"),0))),"")</f>
        <v/>
      </c>
      <c r="H5" s="12">
        <f>IFERROR(IF($A5="","",INDEX(INDIRECT("'"&amp;$A5&amp;"'!F8:F80"),MATCH("Mot-clé principal",INDIRECT("'"&amp;$A5&amp;"'!A8:A80"),0))),"")</f>
        <v/>
      </c>
      <c r="I5" s="12">
        <f>IFERROR(IF($A5="","",COUNTIF(INDIRECT("'"&amp;$A5&amp;"'!A8:A80"),"Collection")),"")</f>
        <v/>
      </c>
      <c r="J5" s="12">
        <f>IFERROR(IF($A5="","",COUNTIF(INDIRECT("'"&amp;$A5&amp;"'!A8:A80"),"Produit")),"")</f>
        <v/>
      </c>
      <c r="K5" s="12">
        <f>IFERROR(IF($A5="","",COUNTIFS(INDIRECT("'"&amp;$A5&amp;"'!A8:A80"),"Produit",INDIRECT("'"&amp;$A5&amp;"'!G8:G80"),"&lt;&gt;")),"")</f>
        <v/>
      </c>
      <c r="L5" s="12">
        <f>IFERROR(IF($A5="","",INDIRECT("'"&amp;$A5&amp;"'!F4")),"")</f>
        <v/>
      </c>
      <c r="M5" s="12" t="inlineStr">
        <is>
          <t>Exemple rempli (recherche UK 07/09)</t>
        </is>
      </c>
    </row>
    <row r="6">
      <c r="A6" s="14" t="n"/>
      <c r="B6" s="14">
        <f>IFERROR(IF($A6="","",INDIRECT("'"&amp;$A6&amp;"'!C3")),"")</f>
        <v/>
      </c>
      <c r="C6" s="14">
        <f>IFERROR(IF($A6="","",INDIRECT("'"&amp;$A6&amp;"'!C4")),"")</f>
        <v/>
      </c>
      <c r="D6" s="14">
        <f>IFERROR(IF($A6="","",INDIRECT("'"&amp;$A6&amp;"'!F3")),"")</f>
        <v/>
      </c>
      <c r="E6" s="14">
        <f>IFERROR(IF($A6="","",INDEX(INDIRECT("'"&amp;$A6&amp;"'!C8:C80"),MATCH("Mot-clé principal",INDIRECT("'"&amp;$A6&amp;"'!A8:A80"),0))),"")</f>
        <v/>
      </c>
      <c r="F6" s="15">
        <f>IFERROR(IF($A6="","",INDEX(INDIRECT("'"&amp;$A6&amp;"'!D8:D80"),MATCH("Mot-clé principal",INDIRECT("'"&amp;$A6&amp;"'!A8:A80"),0))),"")</f>
        <v/>
      </c>
      <c r="G6" s="15">
        <f>IFERROR(IF($A6="","",INDEX(INDIRECT("'"&amp;$A6&amp;"'!E8:E80"),MATCH("Mot-clé principal",INDIRECT("'"&amp;$A6&amp;"'!A8:A80"),0))),"")</f>
        <v/>
      </c>
      <c r="H6" s="14">
        <f>IFERROR(IF($A6="","",INDEX(INDIRECT("'"&amp;$A6&amp;"'!F8:F80"),MATCH("Mot-clé principal",INDIRECT("'"&amp;$A6&amp;"'!A8:A80"),0))),"")</f>
        <v/>
      </c>
      <c r="I6" s="14">
        <f>IFERROR(IF($A6="","",COUNTIF(INDIRECT("'"&amp;$A6&amp;"'!A8:A80"),"Collection")),"")</f>
        <v/>
      </c>
      <c r="J6" s="14">
        <f>IFERROR(IF($A6="","",COUNTIF(INDIRECT("'"&amp;$A6&amp;"'!A8:A80"),"Produit")),"")</f>
        <v/>
      </c>
      <c r="K6" s="14">
        <f>IFERROR(IF($A6="","",COUNTIFS(INDIRECT("'"&amp;$A6&amp;"'!A8:A80"),"Produit",INDIRECT("'"&amp;$A6&amp;"'!G8:G80"),"&lt;&gt;")),"")</f>
        <v/>
      </c>
      <c r="L6" s="14">
        <f>IFERROR(IF($A6="","",INDIRECT("'"&amp;$A6&amp;"'!F4")),"")</f>
        <v/>
      </c>
      <c r="M6" s="14" t="n"/>
    </row>
    <row r="7">
      <c r="A7" s="12" t="n"/>
      <c r="B7" s="12">
        <f>IFERROR(IF($A7="","",INDIRECT("'"&amp;$A7&amp;"'!C3")),"")</f>
        <v/>
      </c>
      <c r="C7" s="12">
        <f>IFERROR(IF($A7="","",INDIRECT("'"&amp;$A7&amp;"'!C4")),"")</f>
        <v/>
      </c>
      <c r="D7" s="12">
        <f>IFERROR(IF($A7="","",INDIRECT("'"&amp;$A7&amp;"'!F3")),"")</f>
        <v/>
      </c>
      <c r="E7" s="12">
        <f>IFERROR(IF($A7="","",INDEX(INDIRECT("'"&amp;$A7&amp;"'!C8:C80"),MATCH("Mot-clé principal",INDIRECT("'"&amp;$A7&amp;"'!A8:A80"),0))),"")</f>
        <v/>
      </c>
      <c r="F7" s="13">
        <f>IFERROR(IF($A7="","",INDEX(INDIRECT("'"&amp;$A7&amp;"'!D8:D80"),MATCH("Mot-clé principal",INDIRECT("'"&amp;$A7&amp;"'!A8:A80"),0))),"")</f>
        <v/>
      </c>
      <c r="G7" s="13">
        <f>IFERROR(IF($A7="","",INDEX(INDIRECT("'"&amp;$A7&amp;"'!E8:E80"),MATCH("Mot-clé principal",INDIRECT("'"&amp;$A7&amp;"'!A8:A80"),0))),"")</f>
        <v/>
      </c>
      <c r="H7" s="12">
        <f>IFERROR(IF($A7="","",INDEX(INDIRECT("'"&amp;$A7&amp;"'!F8:F80"),MATCH("Mot-clé principal",INDIRECT("'"&amp;$A7&amp;"'!A8:A80"),0))),"")</f>
        <v/>
      </c>
      <c r="I7" s="12">
        <f>IFERROR(IF($A7="","",COUNTIF(INDIRECT("'"&amp;$A7&amp;"'!A8:A80"),"Collection")),"")</f>
        <v/>
      </c>
      <c r="J7" s="12">
        <f>IFERROR(IF($A7="","",COUNTIF(INDIRECT("'"&amp;$A7&amp;"'!A8:A80"),"Produit")),"")</f>
        <v/>
      </c>
      <c r="K7" s="12">
        <f>IFERROR(IF($A7="","",COUNTIFS(INDIRECT("'"&amp;$A7&amp;"'!A8:A80"),"Produit",INDIRECT("'"&amp;$A7&amp;"'!G8:G80"),"&lt;&gt;")),"")</f>
        <v/>
      </c>
      <c r="L7" s="12">
        <f>IFERROR(IF($A7="","",INDIRECT("'"&amp;$A7&amp;"'!F4")),"")</f>
        <v/>
      </c>
      <c r="M7" s="12" t="n"/>
    </row>
    <row r="8">
      <c r="A8" s="14" t="n"/>
      <c r="B8" s="14">
        <f>IFERROR(IF($A8="","",INDIRECT("'"&amp;$A8&amp;"'!C3")),"")</f>
        <v/>
      </c>
      <c r="C8" s="14">
        <f>IFERROR(IF($A8="","",INDIRECT("'"&amp;$A8&amp;"'!C4")),"")</f>
        <v/>
      </c>
      <c r="D8" s="14">
        <f>IFERROR(IF($A8="","",INDIRECT("'"&amp;$A8&amp;"'!F3")),"")</f>
        <v/>
      </c>
      <c r="E8" s="14">
        <f>IFERROR(IF($A8="","",INDEX(INDIRECT("'"&amp;$A8&amp;"'!C8:C80"),MATCH("Mot-clé principal",INDIRECT("'"&amp;$A8&amp;"'!A8:A80"),0))),"")</f>
        <v/>
      </c>
      <c r="F8" s="15">
        <f>IFERROR(IF($A8="","",INDEX(INDIRECT("'"&amp;$A8&amp;"'!D8:D80"),MATCH("Mot-clé principal",INDIRECT("'"&amp;$A8&amp;"'!A8:A80"),0))),"")</f>
        <v/>
      </c>
      <c r="G8" s="15">
        <f>IFERROR(IF($A8="","",INDEX(INDIRECT("'"&amp;$A8&amp;"'!E8:E80"),MATCH("Mot-clé principal",INDIRECT("'"&amp;$A8&amp;"'!A8:A80"),0))),"")</f>
        <v/>
      </c>
      <c r="H8" s="14">
        <f>IFERROR(IF($A8="","",INDEX(INDIRECT("'"&amp;$A8&amp;"'!F8:F80"),MATCH("Mot-clé principal",INDIRECT("'"&amp;$A8&amp;"'!A8:A80"),0))),"")</f>
        <v/>
      </c>
      <c r="I8" s="14">
        <f>IFERROR(IF($A8="","",COUNTIF(INDIRECT("'"&amp;$A8&amp;"'!A8:A80"),"Collection")),"")</f>
        <v/>
      </c>
      <c r="J8" s="14">
        <f>IFERROR(IF($A8="","",COUNTIF(INDIRECT("'"&amp;$A8&amp;"'!A8:A80"),"Produit")),"")</f>
        <v/>
      </c>
      <c r="K8" s="14">
        <f>IFERROR(IF($A8="","",COUNTIFS(INDIRECT("'"&amp;$A8&amp;"'!A8:A80"),"Produit",INDIRECT("'"&amp;$A8&amp;"'!G8:G80"),"&lt;&gt;")),"")</f>
        <v/>
      </c>
      <c r="L8" s="14">
        <f>IFERROR(IF($A8="","",INDIRECT("'"&amp;$A8&amp;"'!F4")),"")</f>
        <v/>
      </c>
      <c r="M8" s="14" t="n"/>
    </row>
    <row r="9">
      <c r="A9" s="12" t="n"/>
      <c r="B9" s="12">
        <f>IFERROR(IF($A9="","",INDIRECT("'"&amp;$A9&amp;"'!C3")),"")</f>
        <v/>
      </c>
      <c r="C9" s="12">
        <f>IFERROR(IF($A9="","",INDIRECT("'"&amp;$A9&amp;"'!C4")),"")</f>
        <v/>
      </c>
      <c r="D9" s="12">
        <f>IFERROR(IF($A9="","",INDIRECT("'"&amp;$A9&amp;"'!F3")),"")</f>
        <v/>
      </c>
      <c r="E9" s="12">
        <f>IFERROR(IF($A9="","",INDEX(INDIRECT("'"&amp;$A9&amp;"'!C8:C80"),MATCH("Mot-clé principal",INDIRECT("'"&amp;$A9&amp;"'!A8:A80"),0))),"")</f>
        <v/>
      </c>
      <c r="F9" s="13">
        <f>IFERROR(IF($A9="","",INDEX(INDIRECT("'"&amp;$A9&amp;"'!D8:D80"),MATCH("Mot-clé principal",INDIRECT("'"&amp;$A9&amp;"'!A8:A80"),0))),"")</f>
        <v/>
      </c>
      <c r="G9" s="13">
        <f>IFERROR(IF($A9="","",INDEX(INDIRECT("'"&amp;$A9&amp;"'!E8:E80"),MATCH("Mot-clé principal",INDIRECT("'"&amp;$A9&amp;"'!A8:A80"),0))),"")</f>
        <v/>
      </c>
      <c r="H9" s="12">
        <f>IFERROR(IF($A9="","",INDEX(INDIRECT("'"&amp;$A9&amp;"'!F8:F80"),MATCH("Mot-clé principal",INDIRECT("'"&amp;$A9&amp;"'!A8:A80"),0))),"")</f>
        <v/>
      </c>
      <c r="I9" s="12">
        <f>IFERROR(IF($A9="","",COUNTIF(INDIRECT("'"&amp;$A9&amp;"'!A8:A80"),"Collection")),"")</f>
        <v/>
      </c>
      <c r="J9" s="12">
        <f>IFERROR(IF($A9="","",COUNTIF(INDIRECT("'"&amp;$A9&amp;"'!A8:A80"),"Produit")),"")</f>
        <v/>
      </c>
      <c r="K9" s="12">
        <f>IFERROR(IF($A9="","",COUNTIFS(INDIRECT("'"&amp;$A9&amp;"'!A8:A80"),"Produit",INDIRECT("'"&amp;$A9&amp;"'!G8:G80"),"&lt;&gt;")),"")</f>
        <v/>
      </c>
      <c r="L9" s="12">
        <f>IFERROR(IF($A9="","",INDIRECT("'"&amp;$A9&amp;"'!F4")),"")</f>
        <v/>
      </c>
      <c r="M9" s="12" t="n"/>
    </row>
    <row r="10">
      <c r="A10" s="14" t="n"/>
      <c r="B10" s="14">
        <f>IFERROR(IF($A10="","",INDIRECT("'"&amp;$A10&amp;"'!C3")),"")</f>
        <v/>
      </c>
      <c r="C10" s="14">
        <f>IFERROR(IF($A10="","",INDIRECT("'"&amp;$A10&amp;"'!C4")),"")</f>
        <v/>
      </c>
      <c r="D10" s="14">
        <f>IFERROR(IF($A10="","",INDIRECT("'"&amp;$A10&amp;"'!F3")),"")</f>
        <v/>
      </c>
      <c r="E10" s="14">
        <f>IFERROR(IF($A10="","",INDEX(INDIRECT("'"&amp;$A10&amp;"'!C8:C80"),MATCH("Mot-clé principal",INDIRECT("'"&amp;$A10&amp;"'!A8:A80"),0))),"")</f>
        <v/>
      </c>
      <c r="F10" s="15">
        <f>IFERROR(IF($A10="","",INDEX(INDIRECT("'"&amp;$A10&amp;"'!D8:D80"),MATCH("Mot-clé principal",INDIRECT("'"&amp;$A10&amp;"'!A8:A80"),0))),"")</f>
        <v/>
      </c>
      <c r="G10" s="15">
        <f>IFERROR(IF($A10="","",INDEX(INDIRECT("'"&amp;$A10&amp;"'!E8:E80"),MATCH("Mot-clé principal",INDIRECT("'"&amp;$A10&amp;"'!A8:A80"),0))),"")</f>
        <v/>
      </c>
      <c r="H10" s="14">
        <f>IFERROR(IF($A10="","",INDEX(INDIRECT("'"&amp;$A10&amp;"'!F8:F80"),MATCH("Mot-clé principal",INDIRECT("'"&amp;$A10&amp;"'!A8:A80"),0))),"")</f>
        <v/>
      </c>
      <c r="I10" s="14">
        <f>IFERROR(IF($A10="","",COUNTIF(INDIRECT("'"&amp;$A10&amp;"'!A8:A80"),"Collection")),"")</f>
        <v/>
      </c>
      <c r="J10" s="14">
        <f>IFERROR(IF($A10="","",COUNTIF(INDIRECT("'"&amp;$A10&amp;"'!A8:A80"),"Produit")),"")</f>
        <v/>
      </c>
      <c r="K10" s="14">
        <f>IFERROR(IF($A10="","",COUNTIFS(INDIRECT("'"&amp;$A10&amp;"'!A8:A80"),"Produit",INDIRECT("'"&amp;$A10&amp;"'!G8:G80"),"&lt;&gt;")),"")</f>
        <v/>
      </c>
      <c r="L10" s="14">
        <f>IFERROR(IF($A10="","",INDIRECT("'"&amp;$A10&amp;"'!F4")),"")</f>
        <v/>
      </c>
      <c r="M10" s="14" t="n"/>
    </row>
    <row r="11">
      <c r="A11" s="12" t="n"/>
      <c r="B11" s="12">
        <f>IFERROR(IF($A11="","",INDIRECT("'"&amp;$A11&amp;"'!C3")),"")</f>
        <v/>
      </c>
      <c r="C11" s="12">
        <f>IFERROR(IF($A11="","",INDIRECT("'"&amp;$A11&amp;"'!C4")),"")</f>
        <v/>
      </c>
      <c r="D11" s="12">
        <f>IFERROR(IF($A11="","",INDIRECT("'"&amp;$A11&amp;"'!F3")),"")</f>
        <v/>
      </c>
      <c r="E11" s="12">
        <f>IFERROR(IF($A11="","",INDEX(INDIRECT("'"&amp;$A11&amp;"'!C8:C80"),MATCH("Mot-clé principal",INDIRECT("'"&amp;$A11&amp;"'!A8:A80"),0))),"")</f>
        <v/>
      </c>
      <c r="F11" s="13">
        <f>IFERROR(IF($A11="","",INDEX(INDIRECT("'"&amp;$A11&amp;"'!D8:D80"),MATCH("Mot-clé principal",INDIRECT("'"&amp;$A11&amp;"'!A8:A80"),0))),"")</f>
        <v/>
      </c>
      <c r="G11" s="13">
        <f>IFERROR(IF($A11="","",INDEX(INDIRECT("'"&amp;$A11&amp;"'!E8:E80"),MATCH("Mot-clé principal",INDIRECT("'"&amp;$A11&amp;"'!A8:A80"),0))),"")</f>
        <v/>
      </c>
      <c r="H11" s="12">
        <f>IFERROR(IF($A11="","",INDEX(INDIRECT("'"&amp;$A11&amp;"'!F8:F80"),MATCH("Mot-clé principal",INDIRECT("'"&amp;$A11&amp;"'!A8:A80"),0))),"")</f>
        <v/>
      </c>
      <c r="I11" s="12">
        <f>IFERROR(IF($A11="","",COUNTIF(INDIRECT("'"&amp;$A11&amp;"'!A8:A80"),"Collection")),"")</f>
        <v/>
      </c>
      <c r="J11" s="12">
        <f>IFERROR(IF($A11="","",COUNTIF(INDIRECT("'"&amp;$A11&amp;"'!A8:A80"),"Produit")),"")</f>
        <v/>
      </c>
      <c r="K11" s="12">
        <f>IFERROR(IF($A11="","",COUNTIFS(INDIRECT("'"&amp;$A11&amp;"'!A8:A80"),"Produit",INDIRECT("'"&amp;$A11&amp;"'!G8:G80"),"&lt;&gt;")),"")</f>
        <v/>
      </c>
      <c r="L11" s="12">
        <f>IFERROR(IF($A11="","",INDIRECT("'"&amp;$A11&amp;"'!F4")),"")</f>
        <v/>
      </c>
      <c r="M11" s="12" t="n"/>
    </row>
    <row r="12">
      <c r="A12" s="14" t="n"/>
      <c r="B12" s="14">
        <f>IFERROR(IF($A12="","",INDIRECT("'"&amp;$A12&amp;"'!C3")),"")</f>
        <v/>
      </c>
      <c r="C12" s="14">
        <f>IFERROR(IF($A12="","",INDIRECT("'"&amp;$A12&amp;"'!C4")),"")</f>
        <v/>
      </c>
      <c r="D12" s="14">
        <f>IFERROR(IF($A12="","",INDIRECT("'"&amp;$A12&amp;"'!F3")),"")</f>
        <v/>
      </c>
      <c r="E12" s="14">
        <f>IFERROR(IF($A12="","",INDEX(INDIRECT("'"&amp;$A12&amp;"'!C8:C80"),MATCH("Mot-clé principal",INDIRECT("'"&amp;$A12&amp;"'!A8:A80"),0))),"")</f>
        <v/>
      </c>
      <c r="F12" s="15">
        <f>IFERROR(IF($A12="","",INDEX(INDIRECT("'"&amp;$A12&amp;"'!D8:D80"),MATCH("Mot-clé principal",INDIRECT("'"&amp;$A12&amp;"'!A8:A80"),0))),"")</f>
        <v/>
      </c>
      <c r="G12" s="15">
        <f>IFERROR(IF($A12="","",INDEX(INDIRECT("'"&amp;$A12&amp;"'!E8:E80"),MATCH("Mot-clé principal",INDIRECT("'"&amp;$A12&amp;"'!A8:A80"),0))),"")</f>
        <v/>
      </c>
      <c r="H12" s="14">
        <f>IFERROR(IF($A12="","",INDEX(INDIRECT("'"&amp;$A12&amp;"'!F8:F80"),MATCH("Mot-clé principal",INDIRECT("'"&amp;$A12&amp;"'!A8:A80"),0))),"")</f>
        <v/>
      </c>
      <c r="I12" s="14">
        <f>IFERROR(IF($A12="","",COUNTIF(INDIRECT("'"&amp;$A12&amp;"'!A8:A80"),"Collection")),"")</f>
        <v/>
      </c>
      <c r="J12" s="14">
        <f>IFERROR(IF($A12="","",COUNTIF(INDIRECT("'"&amp;$A12&amp;"'!A8:A80"),"Produit")),"")</f>
        <v/>
      </c>
      <c r="K12" s="14">
        <f>IFERROR(IF($A12="","",COUNTIFS(INDIRECT("'"&amp;$A12&amp;"'!A8:A80"),"Produit",INDIRECT("'"&amp;$A12&amp;"'!G8:G80"),"&lt;&gt;")),"")</f>
        <v/>
      </c>
      <c r="L12" s="14">
        <f>IFERROR(IF($A12="","",INDIRECT("'"&amp;$A12&amp;"'!F4")),"")</f>
        <v/>
      </c>
      <c r="M12" s="14" t="n"/>
    </row>
    <row r="13">
      <c r="A13" s="12" t="n"/>
      <c r="B13" s="12">
        <f>IFERROR(IF($A13="","",INDIRECT("'"&amp;$A13&amp;"'!C3")),"")</f>
        <v/>
      </c>
      <c r="C13" s="12">
        <f>IFERROR(IF($A13="","",INDIRECT("'"&amp;$A13&amp;"'!C4")),"")</f>
        <v/>
      </c>
      <c r="D13" s="12">
        <f>IFERROR(IF($A13="","",INDIRECT("'"&amp;$A13&amp;"'!F3")),"")</f>
        <v/>
      </c>
      <c r="E13" s="12">
        <f>IFERROR(IF($A13="","",INDEX(INDIRECT("'"&amp;$A13&amp;"'!C8:C80"),MATCH("Mot-clé principal",INDIRECT("'"&amp;$A13&amp;"'!A8:A80"),0))),"")</f>
        <v/>
      </c>
      <c r="F13" s="13">
        <f>IFERROR(IF($A13="","",INDEX(INDIRECT("'"&amp;$A13&amp;"'!D8:D80"),MATCH("Mot-clé principal",INDIRECT("'"&amp;$A13&amp;"'!A8:A80"),0))),"")</f>
        <v/>
      </c>
      <c r="G13" s="13">
        <f>IFERROR(IF($A13="","",INDEX(INDIRECT("'"&amp;$A13&amp;"'!E8:E80"),MATCH("Mot-clé principal",INDIRECT("'"&amp;$A13&amp;"'!A8:A80"),0))),"")</f>
        <v/>
      </c>
      <c r="H13" s="12">
        <f>IFERROR(IF($A13="","",INDEX(INDIRECT("'"&amp;$A13&amp;"'!F8:F80"),MATCH("Mot-clé principal",INDIRECT("'"&amp;$A13&amp;"'!A8:A80"),0))),"")</f>
        <v/>
      </c>
      <c r="I13" s="12">
        <f>IFERROR(IF($A13="","",COUNTIF(INDIRECT("'"&amp;$A13&amp;"'!A8:A80"),"Collection")),"")</f>
        <v/>
      </c>
      <c r="J13" s="12">
        <f>IFERROR(IF($A13="","",COUNTIF(INDIRECT("'"&amp;$A13&amp;"'!A8:A80"),"Produit")),"")</f>
        <v/>
      </c>
      <c r="K13" s="12">
        <f>IFERROR(IF($A13="","",COUNTIFS(INDIRECT("'"&amp;$A13&amp;"'!A8:A80"),"Produit",INDIRECT("'"&amp;$A13&amp;"'!G8:G80"),"&lt;&gt;")),"")</f>
        <v/>
      </c>
      <c r="L13" s="12">
        <f>IFERROR(IF($A13="","",INDIRECT("'"&amp;$A13&amp;"'!F4")),"")</f>
        <v/>
      </c>
      <c r="M13" s="12" t="n"/>
    </row>
    <row r="14">
      <c r="A14" s="14" t="n"/>
      <c r="B14" s="14">
        <f>IFERROR(IF($A14="","",INDIRECT("'"&amp;$A14&amp;"'!C3")),"")</f>
        <v/>
      </c>
      <c r="C14" s="14">
        <f>IFERROR(IF($A14="","",INDIRECT("'"&amp;$A14&amp;"'!C4")),"")</f>
        <v/>
      </c>
      <c r="D14" s="14">
        <f>IFERROR(IF($A14="","",INDIRECT("'"&amp;$A14&amp;"'!F3")),"")</f>
        <v/>
      </c>
      <c r="E14" s="14">
        <f>IFERROR(IF($A14="","",INDEX(INDIRECT("'"&amp;$A14&amp;"'!C8:C80"),MATCH("Mot-clé principal",INDIRECT("'"&amp;$A14&amp;"'!A8:A80"),0))),"")</f>
        <v/>
      </c>
      <c r="F14" s="15">
        <f>IFERROR(IF($A14="","",INDEX(INDIRECT("'"&amp;$A14&amp;"'!D8:D80"),MATCH("Mot-clé principal",INDIRECT("'"&amp;$A14&amp;"'!A8:A80"),0))),"")</f>
        <v/>
      </c>
      <c r="G14" s="15">
        <f>IFERROR(IF($A14="","",INDEX(INDIRECT("'"&amp;$A14&amp;"'!E8:E80"),MATCH("Mot-clé principal",INDIRECT("'"&amp;$A14&amp;"'!A8:A80"),0))),"")</f>
        <v/>
      </c>
      <c r="H14" s="14">
        <f>IFERROR(IF($A14="","",INDEX(INDIRECT("'"&amp;$A14&amp;"'!F8:F80"),MATCH("Mot-clé principal",INDIRECT("'"&amp;$A14&amp;"'!A8:A80"),0))),"")</f>
        <v/>
      </c>
      <c r="I14" s="14">
        <f>IFERROR(IF($A14="","",COUNTIF(INDIRECT("'"&amp;$A14&amp;"'!A8:A80"),"Collection")),"")</f>
        <v/>
      </c>
      <c r="J14" s="14">
        <f>IFERROR(IF($A14="","",COUNTIF(INDIRECT("'"&amp;$A14&amp;"'!A8:A80"),"Produit")),"")</f>
        <v/>
      </c>
      <c r="K14" s="14">
        <f>IFERROR(IF($A14="","",COUNTIFS(INDIRECT("'"&amp;$A14&amp;"'!A8:A80"),"Produit",INDIRECT("'"&amp;$A14&amp;"'!G8:G80"),"&lt;&gt;")),"")</f>
        <v/>
      </c>
      <c r="L14" s="14">
        <f>IFERROR(IF($A14="","",INDIRECT("'"&amp;$A14&amp;"'!F4")),"")</f>
        <v/>
      </c>
      <c r="M14" s="14" t="n"/>
    </row>
    <row r="15">
      <c r="A15" s="12" t="n"/>
      <c r="B15" s="12">
        <f>IFERROR(IF($A15="","",INDIRECT("'"&amp;$A15&amp;"'!C3")),"")</f>
        <v/>
      </c>
      <c r="C15" s="12">
        <f>IFERROR(IF($A15="","",INDIRECT("'"&amp;$A15&amp;"'!C4")),"")</f>
        <v/>
      </c>
      <c r="D15" s="12">
        <f>IFERROR(IF($A15="","",INDIRECT("'"&amp;$A15&amp;"'!F3")),"")</f>
        <v/>
      </c>
      <c r="E15" s="12">
        <f>IFERROR(IF($A15="","",INDEX(INDIRECT("'"&amp;$A15&amp;"'!C8:C80"),MATCH("Mot-clé principal",INDIRECT("'"&amp;$A15&amp;"'!A8:A80"),0))),"")</f>
        <v/>
      </c>
      <c r="F15" s="13">
        <f>IFERROR(IF($A15="","",INDEX(INDIRECT("'"&amp;$A15&amp;"'!D8:D80"),MATCH("Mot-clé principal",INDIRECT("'"&amp;$A15&amp;"'!A8:A80"),0))),"")</f>
        <v/>
      </c>
      <c r="G15" s="13">
        <f>IFERROR(IF($A15="","",INDEX(INDIRECT("'"&amp;$A15&amp;"'!E8:E80"),MATCH("Mot-clé principal",INDIRECT("'"&amp;$A15&amp;"'!A8:A80"),0))),"")</f>
        <v/>
      </c>
      <c r="H15" s="12">
        <f>IFERROR(IF($A15="","",INDEX(INDIRECT("'"&amp;$A15&amp;"'!F8:F80"),MATCH("Mot-clé principal",INDIRECT("'"&amp;$A15&amp;"'!A8:A80"),0))),"")</f>
        <v/>
      </c>
      <c r="I15" s="12">
        <f>IFERROR(IF($A15="","",COUNTIF(INDIRECT("'"&amp;$A15&amp;"'!A8:A80"),"Collection")),"")</f>
        <v/>
      </c>
      <c r="J15" s="12">
        <f>IFERROR(IF($A15="","",COUNTIF(INDIRECT("'"&amp;$A15&amp;"'!A8:A80"),"Produit")),"")</f>
        <v/>
      </c>
      <c r="K15" s="12">
        <f>IFERROR(IF($A15="","",COUNTIFS(INDIRECT("'"&amp;$A15&amp;"'!A8:A80"),"Produit",INDIRECT("'"&amp;$A15&amp;"'!G8:G80"),"&lt;&gt;")),"")</f>
        <v/>
      </c>
      <c r="L15" s="12">
        <f>IFERROR(IF($A15="","",INDIRECT("'"&amp;$A15&amp;"'!F4")),"")</f>
        <v/>
      </c>
      <c r="M15" s="12" t="n"/>
    </row>
    <row r="16">
      <c r="A16" s="14" t="n"/>
      <c r="B16" s="14">
        <f>IFERROR(IF($A16="","",INDIRECT("'"&amp;$A16&amp;"'!C3")),"")</f>
        <v/>
      </c>
      <c r="C16" s="14">
        <f>IFERROR(IF($A16="","",INDIRECT("'"&amp;$A16&amp;"'!C4")),"")</f>
        <v/>
      </c>
      <c r="D16" s="14">
        <f>IFERROR(IF($A16="","",INDIRECT("'"&amp;$A16&amp;"'!F3")),"")</f>
        <v/>
      </c>
      <c r="E16" s="14">
        <f>IFERROR(IF($A16="","",INDEX(INDIRECT("'"&amp;$A16&amp;"'!C8:C80"),MATCH("Mot-clé principal",INDIRECT("'"&amp;$A16&amp;"'!A8:A80"),0))),"")</f>
        <v/>
      </c>
      <c r="F16" s="15">
        <f>IFERROR(IF($A16="","",INDEX(INDIRECT("'"&amp;$A16&amp;"'!D8:D80"),MATCH("Mot-clé principal",INDIRECT("'"&amp;$A16&amp;"'!A8:A80"),0))),"")</f>
        <v/>
      </c>
      <c r="G16" s="15">
        <f>IFERROR(IF($A16="","",INDEX(INDIRECT("'"&amp;$A16&amp;"'!E8:E80"),MATCH("Mot-clé principal",INDIRECT("'"&amp;$A16&amp;"'!A8:A80"),0))),"")</f>
        <v/>
      </c>
      <c r="H16" s="14">
        <f>IFERROR(IF($A16="","",INDEX(INDIRECT("'"&amp;$A16&amp;"'!F8:F80"),MATCH("Mot-clé principal",INDIRECT("'"&amp;$A16&amp;"'!A8:A80"),0))),"")</f>
        <v/>
      </c>
      <c r="I16" s="14">
        <f>IFERROR(IF($A16="","",COUNTIF(INDIRECT("'"&amp;$A16&amp;"'!A8:A80"),"Collection")),"")</f>
        <v/>
      </c>
      <c r="J16" s="14">
        <f>IFERROR(IF($A16="","",COUNTIF(INDIRECT("'"&amp;$A16&amp;"'!A8:A80"),"Produit")),"")</f>
        <v/>
      </c>
      <c r="K16" s="14">
        <f>IFERROR(IF($A16="","",COUNTIFS(INDIRECT("'"&amp;$A16&amp;"'!A8:A80"),"Produit",INDIRECT("'"&amp;$A16&amp;"'!G8:G80"),"&lt;&gt;")),"")</f>
        <v/>
      </c>
      <c r="L16" s="14">
        <f>IFERROR(IF($A16="","",INDIRECT("'"&amp;$A16&amp;"'!F4")),"")</f>
        <v/>
      </c>
      <c r="M16" s="14" t="n"/>
    </row>
    <row r="17">
      <c r="A17" s="12" t="n"/>
      <c r="B17" s="12">
        <f>IFERROR(IF($A17="","",INDIRECT("'"&amp;$A17&amp;"'!C3")),"")</f>
        <v/>
      </c>
      <c r="C17" s="12">
        <f>IFERROR(IF($A17="","",INDIRECT("'"&amp;$A17&amp;"'!C4")),"")</f>
        <v/>
      </c>
      <c r="D17" s="12">
        <f>IFERROR(IF($A17="","",INDIRECT("'"&amp;$A17&amp;"'!F3")),"")</f>
        <v/>
      </c>
      <c r="E17" s="12">
        <f>IFERROR(IF($A17="","",INDEX(INDIRECT("'"&amp;$A17&amp;"'!C8:C80"),MATCH("Mot-clé principal",INDIRECT("'"&amp;$A17&amp;"'!A8:A80"),0))),"")</f>
        <v/>
      </c>
      <c r="F17" s="13">
        <f>IFERROR(IF($A17="","",INDEX(INDIRECT("'"&amp;$A17&amp;"'!D8:D80"),MATCH("Mot-clé principal",INDIRECT("'"&amp;$A17&amp;"'!A8:A80"),0))),"")</f>
        <v/>
      </c>
      <c r="G17" s="13">
        <f>IFERROR(IF($A17="","",INDEX(INDIRECT("'"&amp;$A17&amp;"'!E8:E80"),MATCH("Mot-clé principal",INDIRECT("'"&amp;$A17&amp;"'!A8:A80"),0))),"")</f>
        <v/>
      </c>
      <c r="H17" s="12">
        <f>IFERROR(IF($A17="","",INDEX(INDIRECT("'"&amp;$A17&amp;"'!F8:F80"),MATCH("Mot-clé principal",INDIRECT("'"&amp;$A17&amp;"'!A8:A80"),0))),"")</f>
        <v/>
      </c>
      <c r="I17" s="12">
        <f>IFERROR(IF($A17="","",COUNTIF(INDIRECT("'"&amp;$A17&amp;"'!A8:A80"),"Collection")),"")</f>
        <v/>
      </c>
      <c r="J17" s="12">
        <f>IFERROR(IF($A17="","",COUNTIF(INDIRECT("'"&amp;$A17&amp;"'!A8:A80"),"Produit")),"")</f>
        <v/>
      </c>
      <c r="K17" s="12">
        <f>IFERROR(IF($A17="","",COUNTIFS(INDIRECT("'"&amp;$A17&amp;"'!A8:A80"),"Produit",INDIRECT("'"&amp;$A17&amp;"'!G8:G80"),"&lt;&gt;")),"")</f>
        <v/>
      </c>
      <c r="L17" s="12">
        <f>IFERROR(IF($A17="","",INDIRECT("'"&amp;$A17&amp;"'!F4")),"")</f>
        <v/>
      </c>
      <c r="M17" s="12" t="n"/>
    </row>
    <row r="18">
      <c r="A18" s="14" t="n"/>
      <c r="B18" s="14">
        <f>IFERROR(IF($A18="","",INDIRECT("'"&amp;$A18&amp;"'!C3")),"")</f>
        <v/>
      </c>
      <c r="C18" s="14">
        <f>IFERROR(IF($A18="","",INDIRECT("'"&amp;$A18&amp;"'!C4")),"")</f>
        <v/>
      </c>
      <c r="D18" s="14">
        <f>IFERROR(IF($A18="","",INDIRECT("'"&amp;$A18&amp;"'!F3")),"")</f>
        <v/>
      </c>
      <c r="E18" s="14">
        <f>IFERROR(IF($A18="","",INDEX(INDIRECT("'"&amp;$A18&amp;"'!C8:C80"),MATCH("Mot-clé principal",INDIRECT("'"&amp;$A18&amp;"'!A8:A80"),0))),"")</f>
        <v/>
      </c>
      <c r="F18" s="15">
        <f>IFERROR(IF($A18="","",INDEX(INDIRECT("'"&amp;$A18&amp;"'!D8:D80"),MATCH("Mot-clé principal",INDIRECT("'"&amp;$A18&amp;"'!A8:A80"),0))),"")</f>
        <v/>
      </c>
      <c r="G18" s="15">
        <f>IFERROR(IF($A18="","",INDEX(INDIRECT("'"&amp;$A18&amp;"'!E8:E80"),MATCH("Mot-clé principal",INDIRECT("'"&amp;$A18&amp;"'!A8:A80"),0))),"")</f>
        <v/>
      </c>
      <c r="H18" s="14">
        <f>IFERROR(IF($A18="","",INDEX(INDIRECT("'"&amp;$A18&amp;"'!F8:F80"),MATCH("Mot-clé principal",INDIRECT("'"&amp;$A18&amp;"'!A8:A80"),0))),"")</f>
        <v/>
      </c>
      <c r="I18" s="14">
        <f>IFERROR(IF($A18="","",COUNTIF(INDIRECT("'"&amp;$A18&amp;"'!A8:A80"),"Collection")),"")</f>
        <v/>
      </c>
      <c r="J18" s="14">
        <f>IFERROR(IF($A18="","",COUNTIF(INDIRECT("'"&amp;$A18&amp;"'!A8:A80"),"Produit")),"")</f>
        <v/>
      </c>
      <c r="K18" s="14">
        <f>IFERROR(IF($A18="","",COUNTIFS(INDIRECT("'"&amp;$A18&amp;"'!A8:A80"),"Produit",INDIRECT("'"&amp;$A18&amp;"'!G8:G80"),"&lt;&gt;")),"")</f>
        <v/>
      </c>
      <c r="L18" s="14">
        <f>IFERROR(IF($A18="","",INDIRECT("'"&amp;$A18&amp;"'!F4")),"")</f>
        <v/>
      </c>
      <c r="M18" s="14" t="n"/>
    </row>
    <row r="19">
      <c r="A19" s="12" t="n"/>
      <c r="B19" s="12">
        <f>IFERROR(IF($A19="","",INDIRECT("'"&amp;$A19&amp;"'!C3")),"")</f>
        <v/>
      </c>
      <c r="C19" s="12">
        <f>IFERROR(IF($A19="","",INDIRECT("'"&amp;$A19&amp;"'!C4")),"")</f>
        <v/>
      </c>
      <c r="D19" s="12">
        <f>IFERROR(IF($A19="","",INDIRECT("'"&amp;$A19&amp;"'!F3")),"")</f>
        <v/>
      </c>
      <c r="E19" s="12">
        <f>IFERROR(IF($A19="","",INDEX(INDIRECT("'"&amp;$A19&amp;"'!C8:C80"),MATCH("Mot-clé principal",INDIRECT("'"&amp;$A19&amp;"'!A8:A80"),0))),"")</f>
        <v/>
      </c>
      <c r="F19" s="13">
        <f>IFERROR(IF($A19="","",INDEX(INDIRECT("'"&amp;$A19&amp;"'!D8:D80"),MATCH("Mot-clé principal",INDIRECT("'"&amp;$A19&amp;"'!A8:A80"),0))),"")</f>
        <v/>
      </c>
      <c r="G19" s="13">
        <f>IFERROR(IF($A19="","",INDEX(INDIRECT("'"&amp;$A19&amp;"'!E8:E80"),MATCH("Mot-clé principal",INDIRECT("'"&amp;$A19&amp;"'!A8:A80"),0))),"")</f>
        <v/>
      </c>
      <c r="H19" s="12">
        <f>IFERROR(IF($A19="","",INDEX(INDIRECT("'"&amp;$A19&amp;"'!F8:F80"),MATCH("Mot-clé principal",INDIRECT("'"&amp;$A19&amp;"'!A8:A80"),0))),"")</f>
        <v/>
      </c>
      <c r="I19" s="12">
        <f>IFERROR(IF($A19="","",COUNTIF(INDIRECT("'"&amp;$A19&amp;"'!A8:A80"),"Collection")),"")</f>
        <v/>
      </c>
      <c r="J19" s="12">
        <f>IFERROR(IF($A19="","",COUNTIF(INDIRECT("'"&amp;$A19&amp;"'!A8:A80"),"Produit")),"")</f>
        <v/>
      </c>
      <c r="K19" s="12">
        <f>IFERROR(IF($A19="","",COUNTIFS(INDIRECT("'"&amp;$A19&amp;"'!A8:A80"),"Produit",INDIRECT("'"&amp;$A19&amp;"'!G8:G80"),"&lt;&gt;")),"")</f>
        <v/>
      </c>
      <c r="L19" s="12">
        <f>IFERROR(IF($A19="","",INDIRECT("'"&amp;$A19&amp;"'!F4")),"")</f>
        <v/>
      </c>
      <c r="M19" s="12" t="n"/>
    </row>
    <row r="20">
      <c r="A20" s="14" t="n"/>
      <c r="B20" s="14">
        <f>IFERROR(IF($A20="","",INDIRECT("'"&amp;$A20&amp;"'!C3")),"")</f>
        <v/>
      </c>
      <c r="C20" s="14">
        <f>IFERROR(IF($A20="","",INDIRECT("'"&amp;$A20&amp;"'!C4")),"")</f>
        <v/>
      </c>
      <c r="D20" s="14">
        <f>IFERROR(IF($A20="","",INDIRECT("'"&amp;$A20&amp;"'!F3")),"")</f>
        <v/>
      </c>
      <c r="E20" s="14">
        <f>IFERROR(IF($A20="","",INDEX(INDIRECT("'"&amp;$A20&amp;"'!C8:C80"),MATCH("Mot-clé principal",INDIRECT("'"&amp;$A20&amp;"'!A8:A80"),0))),"")</f>
        <v/>
      </c>
      <c r="F20" s="15">
        <f>IFERROR(IF($A20="","",INDEX(INDIRECT("'"&amp;$A20&amp;"'!D8:D80"),MATCH("Mot-clé principal",INDIRECT("'"&amp;$A20&amp;"'!A8:A80"),0))),"")</f>
        <v/>
      </c>
      <c r="G20" s="15">
        <f>IFERROR(IF($A20="","",INDEX(INDIRECT("'"&amp;$A20&amp;"'!E8:E80"),MATCH("Mot-clé principal",INDIRECT("'"&amp;$A20&amp;"'!A8:A80"),0))),"")</f>
        <v/>
      </c>
      <c r="H20" s="14">
        <f>IFERROR(IF($A20="","",INDEX(INDIRECT("'"&amp;$A20&amp;"'!F8:F80"),MATCH("Mot-clé principal",INDIRECT("'"&amp;$A20&amp;"'!A8:A80"),0))),"")</f>
        <v/>
      </c>
      <c r="I20" s="14">
        <f>IFERROR(IF($A20="","",COUNTIF(INDIRECT("'"&amp;$A20&amp;"'!A8:A80"),"Collection")),"")</f>
        <v/>
      </c>
      <c r="J20" s="14">
        <f>IFERROR(IF($A20="","",COUNTIF(INDIRECT("'"&amp;$A20&amp;"'!A8:A80"),"Produit")),"")</f>
        <v/>
      </c>
      <c r="K20" s="14">
        <f>IFERROR(IF($A20="","",COUNTIFS(INDIRECT("'"&amp;$A20&amp;"'!A8:A80"),"Produit",INDIRECT("'"&amp;$A20&amp;"'!G8:G80"),"&lt;&gt;")),"")</f>
        <v/>
      </c>
      <c r="L20" s="14">
        <f>IFERROR(IF($A20="","",INDIRECT("'"&amp;$A20&amp;"'!F4")),"")</f>
        <v/>
      </c>
      <c r="M20" s="14" t="n"/>
    </row>
    <row r="21">
      <c r="A21" s="12" t="n"/>
      <c r="B21" s="12">
        <f>IFERROR(IF($A21="","",INDIRECT("'"&amp;$A21&amp;"'!C3")),"")</f>
        <v/>
      </c>
      <c r="C21" s="12">
        <f>IFERROR(IF($A21="","",INDIRECT("'"&amp;$A21&amp;"'!C4")),"")</f>
        <v/>
      </c>
      <c r="D21" s="12">
        <f>IFERROR(IF($A21="","",INDIRECT("'"&amp;$A21&amp;"'!F3")),"")</f>
        <v/>
      </c>
      <c r="E21" s="12">
        <f>IFERROR(IF($A21="","",INDEX(INDIRECT("'"&amp;$A21&amp;"'!C8:C80"),MATCH("Mot-clé principal",INDIRECT("'"&amp;$A21&amp;"'!A8:A80"),0))),"")</f>
        <v/>
      </c>
      <c r="F21" s="13">
        <f>IFERROR(IF($A21="","",INDEX(INDIRECT("'"&amp;$A21&amp;"'!D8:D80"),MATCH("Mot-clé principal",INDIRECT("'"&amp;$A21&amp;"'!A8:A80"),0))),"")</f>
        <v/>
      </c>
      <c r="G21" s="13">
        <f>IFERROR(IF($A21="","",INDEX(INDIRECT("'"&amp;$A21&amp;"'!E8:E80"),MATCH("Mot-clé principal",INDIRECT("'"&amp;$A21&amp;"'!A8:A80"),0))),"")</f>
        <v/>
      </c>
      <c r="H21" s="12">
        <f>IFERROR(IF($A21="","",INDEX(INDIRECT("'"&amp;$A21&amp;"'!F8:F80"),MATCH("Mot-clé principal",INDIRECT("'"&amp;$A21&amp;"'!A8:A80"),0))),"")</f>
        <v/>
      </c>
      <c r="I21" s="12">
        <f>IFERROR(IF($A21="","",COUNTIF(INDIRECT("'"&amp;$A21&amp;"'!A8:A80"),"Collection")),"")</f>
        <v/>
      </c>
      <c r="J21" s="12">
        <f>IFERROR(IF($A21="","",COUNTIF(INDIRECT("'"&amp;$A21&amp;"'!A8:A80"),"Produit")),"")</f>
        <v/>
      </c>
      <c r="K21" s="12">
        <f>IFERROR(IF($A21="","",COUNTIFS(INDIRECT("'"&amp;$A21&amp;"'!A8:A80"),"Produit",INDIRECT("'"&amp;$A21&amp;"'!G8:G80"),"&lt;&gt;")),"")</f>
        <v/>
      </c>
      <c r="L21" s="12">
        <f>IFERROR(IF($A21="","",INDIRECT("'"&amp;$A21&amp;"'!F4")),"")</f>
        <v/>
      </c>
      <c r="M21" s="12" t="n"/>
    </row>
    <row r="22">
      <c r="A22" s="14" t="n"/>
      <c r="B22" s="14">
        <f>IFERROR(IF($A22="","",INDIRECT("'"&amp;$A22&amp;"'!C3")),"")</f>
        <v/>
      </c>
      <c r="C22" s="14">
        <f>IFERROR(IF($A22="","",INDIRECT("'"&amp;$A22&amp;"'!C4")),"")</f>
        <v/>
      </c>
      <c r="D22" s="14">
        <f>IFERROR(IF($A22="","",INDIRECT("'"&amp;$A22&amp;"'!F3")),"")</f>
        <v/>
      </c>
      <c r="E22" s="14">
        <f>IFERROR(IF($A22="","",INDEX(INDIRECT("'"&amp;$A22&amp;"'!C8:C80"),MATCH("Mot-clé principal",INDIRECT("'"&amp;$A22&amp;"'!A8:A80"),0))),"")</f>
        <v/>
      </c>
      <c r="F22" s="15">
        <f>IFERROR(IF($A22="","",INDEX(INDIRECT("'"&amp;$A22&amp;"'!D8:D80"),MATCH("Mot-clé principal",INDIRECT("'"&amp;$A22&amp;"'!A8:A80"),0))),"")</f>
        <v/>
      </c>
      <c r="G22" s="15">
        <f>IFERROR(IF($A22="","",INDEX(INDIRECT("'"&amp;$A22&amp;"'!E8:E80"),MATCH("Mot-clé principal",INDIRECT("'"&amp;$A22&amp;"'!A8:A80"),0))),"")</f>
        <v/>
      </c>
      <c r="H22" s="14">
        <f>IFERROR(IF($A22="","",INDEX(INDIRECT("'"&amp;$A22&amp;"'!F8:F80"),MATCH("Mot-clé principal",INDIRECT("'"&amp;$A22&amp;"'!A8:A80"),0))),"")</f>
        <v/>
      </c>
      <c r="I22" s="14">
        <f>IFERROR(IF($A22="","",COUNTIF(INDIRECT("'"&amp;$A22&amp;"'!A8:A80"),"Collection")),"")</f>
        <v/>
      </c>
      <c r="J22" s="14">
        <f>IFERROR(IF($A22="","",COUNTIF(INDIRECT("'"&amp;$A22&amp;"'!A8:A80"),"Produit")),"")</f>
        <v/>
      </c>
      <c r="K22" s="14">
        <f>IFERROR(IF($A22="","",COUNTIFS(INDIRECT("'"&amp;$A22&amp;"'!A8:A80"),"Produit",INDIRECT("'"&amp;$A22&amp;"'!G8:G80"),"&lt;&gt;")),"")</f>
        <v/>
      </c>
      <c r="L22" s="14">
        <f>IFERROR(IF($A22="","",INDIRECT("'"&amp;$A22&amp;"'!F4")),"")</f>
        <v/>
      </c>
      <c r="M22" s="14" t="n"/>
    </row>
    <row r="23">
      <c r="A23" s="12" t="n"/>
      <c r="B23" s="12">
        <f>IFERROR(IF($A23="","",INDIRECT("'"&amp;$A23&amp;"'!C3")),"")</f>
        <v/>
      </c>
      <c r="C23" s="12">
        <f>IFERROR(IF($A23="","",INDIRECT("'"&amp;$A23&amp;"'!C4")),"")</f>
        <v/>
      </c>
      <c r="D23" s="12">
        <f>IFERROR(IF($A23="","",INDIRECT("'"&amp;$A23&amp;"'!F3")),"")</f>
        <v/>
      </c>
      <c r="E23" s="12">
        <f>IFERROR(IF($A23="","",INDEX(INDIRECT("'"&amp;$A23&amp;"'!C8:C80"),MATCH("Mot-clé principal",INDIRECT("'"&amp;$A23&amp;"'!A8:A80"),0))),"")</f>
        <v/>
      </c>
      <c r="F23" s="13">
        <f>IFERROR(IF($A23="","",INDEX(INDIRECT("'"&amp;$A23&amp;"'!D8:D80"),MATCH("Mot-clé principal",INDIRECT("'"&amp;$A23&amp;"'!A8:A80"),0))),"")</f>
        <v/>
      </c>
      <c r="G23" s="13">
        <f>IFERROR(IF($A23="","",INDEX(INDIRECT("'"&amp;$A23&amp;"'!E8:E80"),MATCH("Mot-clé principal",INDIRECT("'"&amp;$A23&amp;"'!A8:A80"),0))),"")</f>
        <v/>
      </c>
      <c r="H23" s="12">
        <f>IFERROR(IF($A23="","",INDEX(INDIRECT("'"&amp;$A23&amp;"'!F8:F80"),MATCH("Mot-clé principal",INDIRECT("'"&amp;$A23&amp;"'!A8:A80"),0))),"")</f>
        <v/>
      </c>
      <c r="I23" s="12">
        <f>IFERROR(IF($A23="","",COUNTIF(INDIRECT("'"&amp;$A23&amp;"'!A8:A80"),"Collection")),"")</f>
        <v/>
      </c>
      <c r="J23" s="12">
        <f>IFERROR(IF($A23="","",COUNTIF(INDIRECT("'"&amp;$A23&amp;"'!A8:A80"),"Produit")),"")</f>
        <v/>
      </c>
      <c r="K23" s="12">
        <f>IFERROR(IF($A23="","",COUNTIFS(INDIRECT("'"&amp;$A23&amp;"'!A8:A80"),"Produit",INDIRECT("'"&amp;$A23&amp;"'!G8:G80"),"&lt;&gt;")),"")</f>
        <v/>
      </c>
      <c r="L23" s="12">
        <f>IFERROR(IF($A23="","",INDIRECT("'"&amp;$A23&amp;"'!F4")),"")</f>
        <v/>
      </c>
      <c r="M23" s="12" t="n"/>
    </row>
    <row r="24">
      <c r="A24" s="14" t="n"/>
      <c r="B24" s="14">
        <f>IFERROR(IF($A24="","",INDIRECT("'"&amp;$A24&amp;"'!C3")),"")</f>
        <v/>
      </c>
      <c r="C24" s="14">
        <f>IFERROR(IF($A24="","",INDIRECT("'"&amp;$A24&amp;"'!C4")),"")</f>
        <v/>
      </c>
      <c r="D24" s="14">
        <f>IFERROR(IF($A24="","",INDIRECT("'"&amp;$A24&amp;"'!F3")),"")</f>
        <v/>
      </c>
      <c r="E24" s="14">
        <f>IFERROR(IF($A24="","",INDEX(INDIRECT("'"&amp;$A24&amp;"'!C8:C80"),MATCH("Mot-clé principal",INDIRECT("'"&amp;$A24&amp;"'!A8:A80"),0))),"")</f>
        <v/>
      </c>
      <c r="F24" s="15">
        <f>IFERROR(IF($A24="","",INDEX(INDIRECT("'"&amp;$A24&amp;"'!D8:D80"),MATCH("Mot-clé principal",INDIRECT("'"&amp;$A24&amp;"'!A8:A80"),0))),"")</f>
        <v/>
      </c>
      <c r="G24" s="15">
        <f>IFERROR(IF($A24="","",INDEX(INDIRECT("'"&amp;$A24&amp;"'!E8:E80"),MATCH("Mot-clé principal",INDIRECT("'"&amp;$A24&amp;"'!A8:A80"),0))),"")</f>
        <v/>
      </c>
      <c r="H24" s="14">
        <f>IFERROR(IF($A24="","",INDEX(INDIRECT("'"&amp;$A24&amp;"'!F8:F80"),MATCH("Mot-clé principal",INDIRECT("'"&amp;$A24&amp;"'!A8:A80"),0))),"")</f>
        <v/>
      </c>
      <c r="I24" s="14">
        <f>IFERROR(IF($A24="","",COUNTIF(INDIRECT("'"&amp;$A24&amp;"'!A8:A80"),"Collection")),"")</f>
        <v/>
      </c>
      <c r="J24" s="14">
        <f>IFERROR(IF($A24="","",COUNTIF(INDIRECT("'"&amp;$A24&amp;"'!A8:A80"),"Produit")),"")</f>
        <v/>
      </c>
      <c r="K24" s="14">
        <f>IFERROR(IF($A24="","",COUNTIFS(INDIRECT("'"&amp;$A24&amp;"'!A8:A80"),"Produit",INDIRECT("'"&amp;$A24&amp;"'!G8:G80"),"&lt;&gt;")),"")</f>
        <v/>
      </c>
      <c r="L24" s="14">
        <f>IFERROR(IF($A24="","",INDIRECT("'"&amp;$A24&amp;"'!F4")),"")</f>
        <v/>
      </c>
      <c r="M24" s="14" t="n"/>
    </row>
    <row r="25">
      <c r="A25" s="12" t="n"/>
      <c r="B25" s="12">
        <f>IFERROR(IF($A25="","",INDIRECT("'"&amp;$A25&amp;"'!C3")),"")</f>
        <v/>
      </c>
      <c r="C25" s="12">
        <f>IFERROR(IF($A25="","",INDIRECT("'"&amp;$A25&amp;"'!C4")),"")</f>
        <v/>
      </c>
      <c r="D25" s="12">
        <f>IFERROR(IF($A25="","",INDIRECT("'"&amp;$A25&amp;"'!F3")),"")</f>
        <v/>
      </c>
      <c r="E25" s="12">
        <f>IFERROR(IF($A25="","",INDEX(INDIRECT("'"&amp;$A25&amp;"'!C8:C80"),MATCH("Mot-clé principal",INDIRECT("'"&amp;$A25&amp;"'!A8:A80"),0))),"")</f>
        <v/>
      </c>
      <c r="F25" s="13">
        <f>IFERROR(IF($A25="","",INDEX(INDIRECT("'"&amp;$A25&amp;"'!D8:D80"),MATCH("Mot-clé principal",INDIRECT("'"&amp;$A25&amp;"'!A8:A80"),0))),"")</f>
        <v/>
      </c>
      <c r="G25" s="13">
        <f>IFERROR(IF($A25="","",INDEX(INDIRECT("'"&amp;$A25&amp;"'!E8:E80"),MATCH("Mot-clé principal",INDIRECT("'"&amp;$A25&amp;"'!A8:A80"),0))),"")</f>
        <v/>
      </c>
      <c r="H25" s="12">
        <f>IFERROR(IF($A25="","",INDEX(INDIRECT("'"&amp;$A25&amp;"'!F8:F80"),MATCH("Mot-clé principal",INDIRECT("'"&amp;$A25&amp;"'!A8:A80"),0))),"")</f>
        <v/>
      </c>
      <c r="I25" s="12">
        <f>IFERROR(IF($A25="","",COUNTIF(INDIRECT("'"&amp;$A25&amp;"'!A8:A80"),"Collection")),"")</f>
        <v/>
      </c>
      <c r="J25" s="12">
        <f>IFERROR(IF($A25="","",COUNTIF(INDIRECT("'"&amp;$A25&amp;"'!A8:A80"),"Produit")),"")</f>
        <v/>
      </c>
      <c r="K25" s="12">
        <f>IFERROR(IF($A25="","",COUNTIFS(INDIRECT("'"&amp;$A25&amp;"'!A8:A80"),"Produit",INDIRECT("'"&amp;$A25&amp;"'!G8:G80"),"&lt;&gt;")),"")</f>
        <v/>
      </c>
      <c r="L25" s="12">
        <f>IFERROR(IF($A25="","",INDIRECT("'"&amp;$A25&amp;"'!F4")),"")</f>
        <v/>
      </c>
      <c r="M25" s="12" t="n"/>
    </row>
    <row r="26">
      <c r="A26" s="14" t="n"/>
      <c r="B26" s="14">
        <f>IFERROR(IF($A26="","",INDIRECT("'"&amp;$A26&amp;"'!C3")),"")</f>
        <v/>
      </c>
      <c r="C26" s="14">
        <f>IFERROR(IF($A26="","",INDIRECT("'"&amp;$A26&amp;"'!C4")),"")</f>
        <v/>
      </c>
      <c r="D26" s="14">
        <f>IFERROR(IF($A26="","",INDIRECT("'"&amp;$A26&amp;"'!F3")),"")</f>
        <v/>
      </c>
      <c r="E26" s="14">
        <f>IFERROR(IF($A26="","",INDEX(INDIRECT("'"&amp;$A26&amp;"'!C8:C80"),MATCH("Mot-clé principal",INDIRECT("'"&amp;$A26&amp;"'!A8:A80"),0))),"")</f>
        <v/>
      </c>
      <c r="F26" s="15">
        <f>IFERROR(IF($A26="","",INDEX(INDIRECT("'"&amp;$A26&amp;"'!D8:D80"),MATCH("Mot-clé principal",INDIRECT("'"&amp;$A26&amp;"'!A8:A80"),0))),"")</f>
        <v/>
      </c>
      <c r="G26" s="15">
        <f>IFERROR(IF($A26="","",INDEX(INDIRECT("'"&amp;$A26&amp;"'!E8:E80"),MATCH("Mot-clé principal",INDIRECT("'"&amp;$A26&amp;"'!A8:A80"),0))),"")</f>
        <v/>
      </c>
      <c r="H26" s="14">
        <f>IFERROR(IF($A26="","",INDEX(INDIRECT("'"&amp;$A26&amp;"'!F8:F80"),MATCH("Mot-clé principal",INDIRECT("'"&amp;$A26&amp;"'!A8:A80"),0))),"")</f>
        <v/>
      </c>
      <c r="I26" s="14">
        <f>IFERROR(IF($A26="","",COUNTIF(INDIRECT("'"&amp;$A26&amp;"'!A8:A80"),"Collection")),"")</f>
        <v/>
      </c>
      <c r="J26" s="14">
        <f>IFERROR(IF($A26="","",COUNTIF(INDIRECT("'"&amp;$A26&amp;"'!A8:A80"),"Produit")),"")</f>
        <v/>
      </c>
      <c r="K26" s="14">
        <f>IFERROR(IF($A26="","",COUNTIFS(INDIRECT("'"&amp;$A26&amp;"'!A8:A80"),"Produit",INDIRECT("'"&amp;$A26&amp;"'!G8:G80"),"&lt;&gt;")),"")</f>
        <v/>
      </c>
      <c r="L26" s="14">
        <f>IFERROR(IF($A26="","",INDIRECT("'"&amp;$A26&amp;"'!F4")),"")</f>
        <v/>
      </c>
      <c r="M26" s="14" t="n"/>
    </row>
    <row r="27">
      <c r="A27" s="12" t="n"/>
      <c r="B27" s="12">
        <f>IFERROR(IF($A27="","",INDIRECT("'"&amp;$A27&amp;"'!C3")),"")</f>
        <v/>
      </c>
      <c r="C27" s="12">
        <f>IFERROR(IF($A27="","",INDIRECT("'"&amp;$A27&amp;"'!C4")),"")</f>
        <v/>
      </c>
      <c r="D27" s="12">
        <f>IFERROR(IF($A27="","",INDIRECT("'"&amp;$A27&amp;"'!F3")),"")</f>
        <v/>
      </c>
      <c r="E27" s="12">
        <f>IFERROR(IF($A27="","",INDEX(INDIRECT("'"&amp;$A27&amp;"'!C8:C80"),MATCH("Mot-clé principal",INDIRECT("'"&amp;$A27&amp;"'!A8:A80"),0))),"")</f>
        <v/>
      </c>
      <c r="F27" s="13">
        <f>IFERROR(IF($A27="","",INDEX(INDIRECT("'"&amp;$A27&amp;"'!D8:D80"),MATCH("Mot-clé principal",INDIRECT("'"&amp;$A27&amp;"'!A8:A80"),0))),"")</f>
        <v/>
      </c>
      <c r="G27" s="13">
        <f>IFERROR(IF($A27="","",INDEX(INDIRECT("'"&amp;$A27&amp;"'!E8:E80"),MATCH("Mot-clé principal",INDIRECT("'"&amp;$A27&amp;"'!A8:A80"),0))),"")</f>
        <v/>
      </c>
      <c r="H27" s="12">
        <f>IFERROR(IF($A27="","",INDEX(INDIRECT("'"&amp;$A27&amp;"'!F8:F80"),MATCH("Mot-clé principal",INDIRECT("'"&amp;$A27&amp;"'!A8:A80"),0))),"")</f>
        <v/>
      </c>
      <c r="I27" s="12">
        <f>IFERROR(IF($A27="","",COUNTIF(INDIRECT("'"&amp;$A27&amp;"'!A8:A80"),"Collection")),"")</f>
        <v/>
      </c>
      <c r="J27" s="12">
        <f>IFERROR(IF($A27="","",COUNTIF(INDIRECT("'"&amp;$A27&amp;"'!A8:A80"),"Produit")),"")</f>
        <v/>
      </c>
      <c r="K27" s="12">
        <f>IFERROR(IF($A27="","",COUNTIFS(INDIRECT("'"&amp;$A27&amp;"'!A8:A80"),"Produit",INDIRECT("'"&amp;$A27&amp;"'!G8:G80"),"&lt;&gt;")),"")</f>
        <v/>
      </c>
      <c r="L27" s="12">
        <f>IFERROR(IF($A27="","",INDIRECT("'"&amp;$A27&amp;"'!F4")),"")</f>
        <v/>
      </c>
      <c r="M27" s="12" t="n"/>
    </row>
    <row r="28">
      <c r="A28" s="14" t="n"/>
      <c r="B28" s="14">
        <f>IFERROR(IF($A28="","",INDIRECT("'"&amp;$A28&amp;"'!C3")),"")</f>
        <v/>
      </c>
      <c r="C28" s="14">
        <f>IFERROR(IF($A28="","",INDIRECT("'"&amp;$A28&amp;"'!C4")),"")</f>
        <v/>
      </c>
      <c r="D28" s="14">
        <f>IFERROR(IF($A28="","",INDIRECT("'"&amp;$A28&amp;"'!F3")),"")</f>
        <v/>
      </c>
      <c r="E28" s="14">
        <f>IFERROR(IF($A28="","",INDEX(INDIRECT("'"&amp;$A28&amp;"'!C8:C80"),MATCH("Mot-clé principal",INDIRECT("'"&amp;$A28&amp;"'!A8:A80"),0))),"")</f>
        <v/>
      </c>
      <c r="F28" s="15">
        <f>IFERROR(IF($A28="","",INDEX(INDIRECT("'"&amp;$A28&amp;"'!D8:D80"),MATCH("Mot-clé principal",INDIRECT("'"&amp;$A28&amp;"'!A8:A80"),0))),"")</f>
        <v/>
      </c>
      <c r="G28" s="15">
        <f>IFERROR(IF($A28="","",INDEX(INDIRECT("'"&amp;$A28&amp;"'!E8:E80"),MATCH("Mot-clé principal",INDIRECT("'"&amp;$A28&amp;"'!A8:A80"),0))),"")</f>
        <v/>
      </c>
      <c r="H28" s="14">
        <f>IFERROR(IF($A28="","",INDEX(INDIRECT("'"&amp;$A28&amp;"'!F8:F80"),MATCH("Mot-clé principal",INDIRECT("'"&amp;$A28&amp;"'!A8:A80"),0))),"")</f>
        <v/>
      </c>
      <c r="I28" s="14">
        <f>IFERROR(IF($A28="","",COUNTIF(INDIRECT("'"&amp;$A28&amp;"'!A8:A80"),"Collection")),"")</f>
        <v/>
      </c>
      <c r="J28" s="14">
        <f>IFERROR(IF($A28="","",COUNTIF(INDIRECT("'"&amp;$A28&amp;"'!A8:A80"),"Produit")),"")</f>
        <v/>
      </c>
      <c r="K28" s="14">
        <f>IFERROR(IF($A28="","",COUNTIFS(INDIRECT("'"&amp;$A28&amp;"'!A8:A80"),"Produit",INDIRECT("'"&amp;$A28&amp;"'!G8:G80"),"&lt;&gt;")),"")</f>
        <v/>
      </c>
      <c r="L28" s="14">
        <f>IFERROR(IF($A28="","",INDIRECT("'"&amp;$A28&amp;"'!F4")),"")</f>
        <v/>
      </c>
      <c r="M28" s="14" t="n"/>
    </row>
    <row r="29">
      <c r="A29" s="12" t="n"/>
      <c r="B29" s="12">
        <f>IFERROR(IF($A29="","",INDIRECT("'"&amp;$A29&amp;"'!C3")),"")</f>
        <v/>
      </c>
      <c r="C29" s="12">
        <f>IFERROR(IF($A29="","",INDIRECT("'"&amp;$A29&amp;"'!C4")),"")</f>
        <v/>
      </c>
      <c r="D29" s="12">
        <f>IFERROR(IF($A29="","",INDIRECT("'"&amp;$A29&amp;"'!F3")),"")</f>
        <v/>
      </c>
      <c r="E29" s="12">
        <f>IFERROR(IF($A29="","",INDEX(INDIRECT("'"&amp;$A29&amp;"'!C8:C80"),MATCH("Mot-clé principal",INDIRECT("'"&amp;$A29&amp;"'!A8:A80"),0))),"")</f>
        <v/>
      </c>
      <c r="F29" s="13">
        <f>IFERROR(IF($A29="","",INDEX(INDIRECT("'"&amp;$A29&amp;"'!D8:D80"),MATCH("Mot-clé principal",INDIRECT("'"&amp;$A29&amp;"'!A8:A80"),0))),"")</f>
        <v/>
      </c>
      <c r="G29" s="13">
        <f>IFERROR(IF($A29="","",INDEX(INDIRECT("'"&amp;$A29&amp;"'!E8:E80"),MATCH("Mot-clé principal",INDIRECT("'"&amp;$A29&amp;"'!A8:A80"),0))),"")</f>
        <v/>
      </c>
      <c r="H29" s="12">
        <f>IFERROR(IF($A29="","",INDEX(INDIRECT("'"&amp;$A29&amp;"'!F8:F80"),MATCH("Mot-clé principal",INDIRECT("'"&amp;$A29&amp;"'!A8:A80"),0))),"")</f>
        <v/>
      </c>
      <c r="I29" s="12">
        <f>IFERROR(IF($A29="","",COUNTIF(INDIRECT("'"&amp;$A29&amp;"'!A8:A80"),"Collection")),"")</f>
        <v/>
      </c>
      <c r="J29" s="12">
        <f>IFERROR(IF($A29="","",COUNTIF(INDIRECT("'"&amp;$A29&amp;"'!A8:A80"),"Produit")),"")</f>
        <v/>
      </c>
      <c r="K29" s="12">
        <f>IFERROR(IF($A29="","",COUNTIFS(INDIRECT("'"&amp;$A29&amp;"'!A8:A80"),"Produit",INDIRECT("'"&amp;$A29&amp;"'!G8:G80"),"&lt;&gt;")),"")</f>
        <v/>
      </c>
      <c r="L29" s="12">
        <f>IFERROR(IF($A29="","",INDIRECT("'"&amp;$A29&amp;"'!F4")),"")</f>
        <v/>
      </c>
      <c r="M29" s="12" t="n"/>
    </row>
    <row r="30">
      <c r="A30" s="14" t="n"/>
      <c r="B30" s="14">
        <f>IFERROR(IF($A30="","",INDIRECT("'"&amp;$A30&amp;"'!C3")),"")</f>
        <v/>
      </c>
      <c r="C30" s="14">
        <f>IFERROR(IF($A30="","",INDIRECT("'"&amp;$A30&amp;"'!C4")),"")</f>
        <v/>
      </c>
      <c r="D30" s="14">
        <f>IFERROR(IF($A30="","",INDIRECT("'"&amp;$A30&amp;"'!F3")),"")</f>
        <v/>
      </c>
      <c r="E30" s="14">
        <f>IFERROR(IF($A30="","",INDEX(INDIRECT("'"&amp;$A30&amp;"'!C8:C80"),MATCH("Mot-clé principal",INDIRECT("'"&amp;$A30&amp;"'!A8:A80"),0))),"")</f>
        <v/>
      </c>
      <c r="F30" s="15">
        <f>IFERROR(IF($A30="","",INDEX(INDIRECT("'"&amp;$A30&amp;"'!D8:D80"),MATCH("Mot-clé principal",INDIRECT("'"&amp;$A30&amp;"'!A8:A80"),0))),"")</f>
        <v/>
      </c>
      <c r="G30" s="15">
        <f>IFERROR(IF($A30="","",INDEX(INDIRECT("'"&amp;$A30&amp;"'!E8:E80"),MATCH("Mot-clé principal",INDIRECT("'"&amp;$A30&amp;"'!A8:A80"),0))),"")</f>
        <v/>
      </c>
      <c r="H30" s="14">
        <f>IFERROR(IF($A30="","",INDEX(INDIRECT("'"&amp;$A30&amp;"'!F8:F80"),MATCH("Mot-clé principal",INDIRECT("'"&amp;$A30&amp;"'!A8:A80"),0))),"")</f>
        <v/>
      </c>
      <c r="I30" s="14">
        <f>IFERROR(IF($A30="","",COUNTIF(INDIRECT("'"&amp;$A30&amp;"'!A8:A80"),"Collection")),"")</f>
        <v/>
      </c>
      <c r="J30" s="14">
        <f>IFERROR(IF($A30="","",COUNTIF(INDIRECT("'"&amp;$A30&amp;"'!A8:A80"),"Produit")),"")</f>
        <v/>
      </c>
      <c r="K30" s="14">
        <f>IFERROR(IF($A30="","",COUNTIFS(INDIRECT("'"&amp;$A30&amp;"'!A8:A80"),"Produit",INDIRECT("'"&amp;$A30&amp;"'!G8:G80"),"&lt;&gt;")),"")</f>
        <v/>
      </c>
      <c r="L30" s="14">
        <f>IFERROR(IF($A30="","",INDIRECT("'"&amp;$A30&amp;"'!F4")),"")</f>
        <v/>
      </c>
      <c r="M30" s="14" t="n"/>
    </row>
  </sheetData>
  <conditionalFormatting sqref="H5:H30">
    <cfRule type="cellIs" priority="1" operator="equal" dxfId="0">
      <formula>"PASS"</formula>
    </cfRule>
    <cfRule type="cellIs" priority="2" operator="equal" dxfId="1">
      <formula>"REVIEW"</formula>
    </cfRule>
    <cfRule type="cellIs" priority="3" operator="equal" dxfId="2">
      <formula>"STOP"</formula>
    </cfRule>
  </conditionalFormatting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/>
  </sheetPr>
  <dimension ref="A1:K8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2" customWidth="1" min="4" max="4"/>
    <col width="10" customWidth="1" min="5" max="5"/>
    <col width="10" customWidth="1" min="6" max="6"/>
    <col width="44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16" t="inlineStr">
        <is>
          <t>NICHE</t>
        </is>
      </c>
    </row>
    <row r="2">
      <c r="B2" s="10" t="inlineStr">
        <is>
          <t>Nom de la niche</t>
        </is>
      </c>
    </row>
    <row r="3">
      <c r="B3" s="17" t="inlineStr">
        <is>
          <t>Mode</t>
        </is>
      </c>
      <c r="C3" s="18" t="inlineStr">
        <is>
          <t>PRODUIT PUR</t>
        </is>
      </c>
      <c r="E3" s="17" t="inlineStr">
        <is>
          <t>Statut</t>
        </is>
      </c>
      <c r="F3" s="18" t="inlineStr">
        <is>
          <t>Idée</t>
        </is>
      </c>
      <c r="H3" s="16" t="inlineStr">
        <is>
          <t>Seuils</t>
        </is>
      </c>
      <c r="I3" s="19" t="inlineStr">
        <is>
          <t>PRODUIT PUR</t>
        </is>
      </c>
      <c r="J3" s="20" t="n">
        <v>12500</v>
      </c>
      <c r="K3" s="19" t="inlineStr">
        <is>
          <t>Bande REVIEW</t>
        </is>
      </c>
    </row>
    <row r="4">
      <c r="B4" s="17" t="inlineStr">
        <is>
          <t>Marché</t>
        </is>
      </c>
      <c r="C4" s="18" t="inlineStr">
        <is>
          <t>FR</t>
        </is>
      </c>
      <c r="E4" s="17" t="inlineStr">
        <is>
          <t>Date</t>
        </is>
      </c>
      <c r="F4" s="18" t="n"/>
      <c r="I4" s="19" t="inlineStr">
        <is>
          <t>UNIVERS</t>
        </is>
      </c>
      <c r="J4" s="20" t="n">
        <v>37500</v>
      </c>
      <c r="K4" s="21" t="n">
        <v>0.8</v>
      </c>
    </row>
    <row r="5">
      <c r="B5" s="17" t="inlineStr">
        <is>
          <t>Notes</t>
        </is>
      </c>
      <c r="C5" s="12" t="inlineStr"/>
    </row>
    <row r="7" ht="30" customHeight="1">
      <c r="A7" s="11" t="inlineStr">
        <is>
          <t>Niveau</t>
        </is>
      </c>
      <c r="B7" s="11" t="inlineStr">
        <is>
          <t>Arborescence</t>
        </is>
      </c>
      <c r="C7" s="11" t="inlineStr">
        <is>
          <t>Mot-clé</t>
        </is>
      </c>
      <c r="D7" s="11" t="inlineStr">
        <is>
          <t>Volume / mois</t>
        </is>
      </c>
      <c r="E7" s="11" t="inlineStr">
        <is>
          <t>Seuil</t>
        </is>
      </c>
      <c r="F7" s="11" t="inlineStr">
        <is>
          <t>Verdict</t>
        </is>
      </c>
      <c r="G7" s="11" t="inlineStr">
        <is>
          <t>Lien AliExpress</t>
        </is>
      </c>
      <c r="H7" s="11" t="inlineStr">
        <is>
          <t>Prix AliExpress</t>
        </is>
      </c>
      <c r="I7" s="11" t="inlineStr">
        <is>
          <t>Prix cible</t>
        </is>
      </c>
      <c r="J7" s="11" t="inlineStr">
        <is>
          <t>Marge brute</t>
        </is>
      </c>
      <c r="K7" s="11" t="inlineStr">
        <is>
          <t>Notes / source</t>
        </is>
      </c>
    </row>
    <row r="8">
      <c r="A8" s="12" t="n"/>
      <c r="B8" s="22">
        <f>IF(A8="","",IF(A8="Mot-clé principal","◆ "&amp;C8,IF(A8="Collection","    ├─ "&amp;C8,"         · "&amp;C8)))</f>
        <v/>
      </c>
      <c r="C8" s="12" t="n"/>
      <c r="D8" s="13" t="n"/>
      <c r="E8" s="13">
        <f>IF(A8="","",IF(A8="Mot-clé principal",IF($C$3="UNIVERS",$J$4,$J$3),IF(A8="Collection",$J$3,IF($C$3="PRODUIT PUR",$J$3,""))))</f>
        <v/>
      </c>
      <c r="F8" s="12">
        <f>IF(OR(D8="",E8=""),"",IF(D8&gt;=E8,"PASS",IF(D8&gt;=E8*$K$4,"REVIEW","STOP")))</f>
        <v/>
      </c>
      <c r="G8" s="23" t="n"/>
      <c r="H8" s="24" t="n"/>
      <c r="I8" s="24" t="n"/>
      <c r="J8" s="24">
        <f>IF(OR(H8="",I8=""),"",I8/1.2-H8)</f>
        <v/>
      </c>
      <c r="K8" s="12" t="n"/>
    </row>
    <row r="9">
      <c r="A9" s="12" t="n"/>
      <c r="B9" s="22">
        <f>IF(A9="","",IF(A9="Mot-clé principal","◆ "&amp;C9,IF(A9="Collection","    ├─ "&amp;C9,"         · "&amp;C9)))</f>
        <v/>
      </c>
      <c r="C9" s="12" t="n"/>
      <c r="D9" s="13" t="n"/>
      <c r="E9" s="13">
        <f>IF(A9="","",IF(A9="Mot-clé principal",IF($C$3="UNIVERS",$J$4,$J$3),IF(A9="Collection",$J$3,IF($C$3="PRODUIT PUR",$J$3,""))))</f>
        <v/>
      </c>
      <c r="F9" s="12">
        <f>IF(OR(D9="",E9=""),"",IF(D9&gt;=E9,"PASS",IF(D9&gt;=E9*$K$4,"REVIEW","STOP")))</f>
        <v/>
      </c>
      <c r="G9" s="23" t="n"/>
      <c r="H9" s="24" t="n"/>
      <c r="I9" s="24" t="n"/>
      <c r="J9" s="24">
        <f>IF(OR(H9="",I9=""),"",I9/1.2-H9)</f>
        <v/>
      </c>
      <c r="K9" s="12" t="n"/>
    </row>
    <row r="10">
      <c r="A10" s="12" t="n"/>
      <c r="B10" s="22">
        <f>IF(A10="","",IF(A10="Mot-clé principal","◆ "&amp;C10,IF(A10="Collection","    ├─ "&amp;C10,"         · "&amp;C10)))</f>
        <v/>
      </c>
      <c r="C10" s="12" t="n"/>
      <c r="D10" s="13" t="n"/>
      <c r="E10" s="13">
        <f>IF(A10="","",IF(A10="Mot-clé principal",IF($C$3="UNIVERS",$J$4,$J$3),IF(A10="Collection",$J$3,IF($C$3="PRODUIT PUR",$J$3,""))))</f>
        <v/>
      </c>
      <c r="F10" s="12">
        <f>IF(OR(D10="",E10=""),"",IF(D10&gt;=E10,"PASS",IF(D10&gt;=E10*$K$4,"REVIEW","STOP")))</f>
        <v/>
      </c>
      <c r="G10" s="23" t="n"/>
      <c r="H10" s="24" t="n"/>
      <c r="I10" s="24" t="n"/>
      <c r="J10" s="24">
        <f>IF(OR(H10="",I10=""),"",I10/1.2-H10)</f>
        <v/>
      </c>
      <c r="K10" s="12" t="n"/>
    </row>
    <row r="11">
      <c r="A11" s="12" t="n"/>
      <c r="B11" s="22">
        <f>IF(A11="","",IF(A11="Mot-clé principal","◆ "&amp;C11,IF(A11="Collection","    ├─ "&amp;C11,"         · "&amp;C11)))</f>
        <v/>
      </c>
      <c r="C11" s="12" t="n"/>
      <c r="D11" s="13" t="n"/>
      <c r="E11" s="13">
        <f>IF(A11="","",IF(A11="Mot-clé principal",IF($C$3="UNIVERS",$J$4,$J$3),IF(A11="Collection",$J$3,IF($C$3="PRODUIT PUR",$J$3,""))))</f>
        <v/>
      </c>
      <c r="F11" s="12">
        <f>IF(OR(D11="",E11=""),"",IF(D11&gt;=E11,"PASS",IF(D11&gt;=E11*$K$4,"REVIEW","STOP")))</f>
        <v/>
      </c>
      <c r="G11" s="23" t="n"/>
      <c r="H11" s="24" t="n"/>
      <c r="I11" s="24" t="n"/>
      <c r="J11" s="24">
        <f>IF(OR(H11="",I11=""),"",I11/1.2-H11)</f>
        <v/>
      </c>
      <c r="K11" s="12" t="n"/>
    </row>
    <row r="12">
      <c r="A12" s="12" t="n"/>
      <c r="B12" s="22">
        <f>IF(A12="","",IF(A12="Mot-clé principal","◆ "&amp;C12,IF(A12="Collection","    ├─ "&amp;C12,"         · "&amp;C12)))</f>
        <v/>
      </c>
      <c r="C12" s="12" t="n"/>
      <c r="D12" s="13" t="n"/>
      <c r="E12" s="13">
        <f>IF(A12="","",IF(A12="Mot-clé principal",IF($C$3="UNIVERS",$J$4,$J$3),IF(A12="Collection",$J$3,IF($C$3="PRODUIT PUR",$J$3,""))))</f>
        <v/>
      </c>
      <c r="F12" s="12">
        <f>IF(OR(D12="",E12=""),"",IF(D12&gt;=E12,"PASS",IF(D12&gt;=E12*$K$4,"REVIEW","STOP")))</f>
        <v/>
      </c>
      <c r="G12" s="23" t="n"/>
      <c r="H12" s="24" t="n"/>
      <c r="I12" s="24" t="n"/>
      <c r="J12" s="24">
        <f>IF(OR(H12="",I12=""),"",I12/1.2-H12)</f>
        <v/>
      </c>
      <c r="K12" s="12" t="n"/>
    </row>
    <row r="13">
      <c r="A13" s="12" t="n"/>
      <c r="B13" s="22">
        <f>IF(A13="","",IF(A13="Mot-clé principal","◆ "&amp;C13,IF(A13="Collection","    ├─ "&amp;C13,"         · "&amp;C13)))</f>
        <v/>
      </c>
      <c r="C13" s="12" t="n"/>
      <c r="D13" s="13" t="n"/>
      <c r="E13" s="13">
        <f>IF(A13="","",IF(A13="Mot-clé principal",IF($C$3="UNIVERS",$J$4,$J$3),IF(A13="Collection",$J$3,IF($C$3="PRODUIT PUR",$J$3,""))))</f>
        <v/>
      </c>
      <c r="F13" s="12">
        <f>IF(OR(D13="",E13=""),"",IF(D13&gt;=E13,"PASS",IF(D13&gt;=E13*$K$4,"REVIEW","STOP")))</f>
        <v/>
      </c>
      <c r="G13" s="23" t="n"/>
      <c r="H13" s="24" t="n"/>
      <c r="I13" s="24" t="n"/>
      <c r="J13" s="24">
        <f>IF(OR(H13="",I13=""),"",I13/1.2-H13)</f>
        <v/>
      </c>
      <c r="K13" s="12" t="n"/>
    </row>
    <row r="14">
      <c r="A14" s="12" t="n"/>
      <c r="B14" s="22">
        <f>IF(A14="","",IF(A14="Mot-clé principal","◆ "&amp;C14,IF(A14="Collection","    ├─ "&amp;C14,"         · "&amp;C14)))</f>
        <v/>
      </c>
      <c r="C14" s="12" t="n"/>
      <c r="D14" s="13" t="n"/>
      <c r="E14" s="13">
        <f>IF(A14="","",IF(A14="Mot-clé principal",IF($C$3="UNIVERS",$J$4,$J$3),IF(A14="Collection",$J$3,IF($C$3="PRODUIT PUR",$J$3,""))))</f>
        <v/>
      </c>
      <c r="F14" s="12">
        <f>IF(OR(D14="",E14=""),"",IF(D14&gt;=E14,"PASS",IF(D14&gt;=E14*$K$4,"REVIEW","STOP")))</f>
        <v/>
      </c>
      <c r="G14" s="23" t="n"/>
      <c r="H14" s="24" t="n"/>
      <c r="I14" s="24" t="n"/>
      <c r="J14" s="24">
        <f>IF(OR(H14="",I14=""),"",I14/1.2-H14)</f>
        <v/>
      </c>
      <c r="K14" s="12" t="n"/>
    </row>
    <row r="15">
      <c r="A15" s="12" t="n"/>
      <c r="B15" s="22">
        <f>IF(A15="","",IF(A15="Mot-clé principal","◆ "&amp;C15,IF(A15="Collection","    ├─ "&amp;C15,"         · "&amp;C15)))</f>
        <v/>
      </c>
      <c r="C15" s="12" t="n"/>
      <c r="D15" s="13" t="n"/>
      <c r="E15" s="13">
        <f>IF(A15="","",IF(A15="Mot-clé principal",IF($C$3="UNIVERS",$J$4,$J$3),IF(A15="Collection",$J$3,IF($C$3="PRODUIT PUR",$J$3,""))))</f>
        <v/>
      </c>
      <c r="F15" s="12">
        <f>IF(OR(D15="",E15=""),"",IF(D15&gt;=E15,"PASS",IF(D15&gt;=E15*$K$4,"REVIEW","STOP")))</f>
        <v/>
      </c>
      <c r="G15" s="23" t="n"/>
      <c r="H15" s="24" t="n"/>
      <c r="I15" s="24" t="n"/>
      <c r="J15" s="24">
        <f>IF(OR(H15="",I15=""),"",I15/1.2-H15)</f>
        <v/>
      </c>
      <c r="K15" s="12" t="n"/>
    </row>
    <row r="16">
      <c r="A16" s="12" t="n"/>
      <c r="B16" s="22">
        <f>IF(A16="","",IF(A16="Mot-clé principal","◆ "&amp;C16,IF(A16="Collection","    ├─ "&amp;C16,"         · "&amp;C16)))</f>
        <v/>
      </c>
      <c r="C16" s="12" t="n"/>
      <c r="D16" s="13" t="n"/>
      <c r="E16" s="13">
        <f>IF(A16="","",IF(A16="Mot-clé principal",IF($C$3="UNIVERS",$J$4,$J$3),IF(A16="Collection",$J$3,IF($C$3="PRODUIT PUR",$J$3,""))))</f>
        <v/>
      </c>
      <c r="F16" s="12">
        <f>IF(OR(D16="",E16=""),"",IF(D16&gt;=E16,"PASS",IF(D16&gt;=E16*$K$4,"REVIEW","STOP")))</f>
        <v/>
      </c>
      <c r="G16" s="23" t="n"/>
      <c r="H16" s="24" t="n"/>
      <c r="I16" s="24" t="n"/>
      <c r="J16" s="24">
        <f>IF(OR(H16="",I16=""),"",I16/1.2-H16)</f>
        <v/>
      </c>
      <c r="K16" s="12" t="n"/>
    </row>
    <row r="17">
      <c r="A17" s="12" t="n"/>
      <c r="B17" s="22">
        <f>IF(A17="","",IF(A17="Mot-clé principal","◆ "&amp;C17,IF(A17="Collection","    ├─ "&amp;C17,"         · "&amp;C17)))</f>
        <v/>
      </c>
      <c r="C17" s="12" t="n"/>
      <c r="D17" s="13" t="n"/>
      <c r="E17" s="13">
        <f>IF(A17="","",IF(A17="Mot-clé principal",IF($C$3="UNIVERS",$J$4,$J$3),IF(A17="Collection",$J$3,IF($C$3="PRODUIT PUR",$J$3,""))))</f>
        <v/>
      </c>
      <c r="F17" s="12">
        <f>IF(OR(D17="",E17=""),"",IF(D17&gt;=E17,"PASS",IF(D17&gt;=E17*$K$4,"REVIEW","STOP")))</f>
        <v/>
      </c>
      <c r="G17" s="23" t="n"/>
      <c r="H17" s="24" t="n"/>
      <c r="I17" s="24" t="n"/>
      <c r="J17" s="24">
        <f>IF(OR(H17="",I17=""),"",I17/1.2-H17)</f>
        <v/>
      </c>
      <c r="K17" s="12" t="n"/>
    </row>
    <row r="18">
      <c r="A18" s="12" t="n"/>
      <c r="B18" s="22">
        <f>IF(A18="","",IF(A18="Mot-clé principal","◆ "&amp;C18,IF(A18="Collection","    ├─ "&amp;C18,"         · "&amp;C18)))</f>
        <v/>
      </c>
      <c r="C18" s="12" t="n"/>
      <c r="D18" s="13" t="n"/>
      <c r="E18" s="13">
        <f>IF(A18="","",IF(A18="Mot-clé principal",IF($C$3="UNIVERS",$J$4,$J$3),IF(A18="Collection",$J$3,IF($C$3="PRODUIT PUR",$J$3,""))))</f>
        <v/>
      </c>
      <c r="F18" s="12">
        <f>IF(OR(D18="",E18=""),"",IF(D18&gt;=E18,"PASS",IF(D18&gt;=E18*$K$4,"REVIEW","STOP")))</f>
        <v/>
      </c>
      <c r="G18" s="23" t="n"/>
      <c r="H18" s="24" t="n"/>
      <c r="I18" s="24" t="n"/>
      <c r="J18" s="24">
        <f>IF(OR(H18="",I18=""),"",I18/1.2-H18)</f>
        <v/>
      </c>
      <c r="K18" s="12" t="n"/>
    </row>
    <row r="19">
      <c r="A19" s="12" t="n"/>
      <c r="B19" s="22">
        <f>IF(A19="","",IF(A19="Mot-clé principal","◆ "&amp;C19,IF(A19="Collection","    ├─ "&amp;C19,"         · "&amp;C19)))</f>
        <v/>
      </c>
      <c r="C19" s="12" t="n"/>
      <c r="D19" s="13" t="n"/>
      <c r="E19" s="13">
        <f>IF(A19="","",IF(A19="Mot-clé principal",IF($C$3="UNIVERS",$J$4,$J$3),IF(A19="Collection",$J$3,IF($C$3="PRODUIT PUR",$J$3,""))))</f>
        <v/>
      </c>
      <c r="F19" s="12">
        <f>IF(OR(D19="",E19=""),"",IF(D19&gt;=E19,"PASS",IF(D19&gt;=E19*$K$4,"REVIEW","STOP")))</f>
        <v/>
      </c>
      <c r="G19" s="23" t="n"/>
      <c r="H19" s="24" t="n"/>
      <c r="I19" s="24" t="n"/>
      <c r="J19" s="24">
        <f>IF(OR(H19="",I19=""),"",I19/1.2-H19)</f>
        <v/>
      </c>
      <c r="K19" s="12" t="n"/>
    </row>
    <row r="20">
      <c r="A20" s="12" t="n"/>
      <c r="B20" s="22">
        <f>IF(A20="","",IF(A20="Mot-clé principal","◆ "&amp;C20,IF(A20="Collection","    ├─ "&amp;C20,"         · "&amp;C20)))</f>
        <v/>
      </c>
      <c r="C20" s="12" t="n"/>
      <c r="D20" s="13" t="n"/>
      <c r="E20" s="13">
        <f>IF(A20="","",IF(A20="Mot-clé principal",IF($C$3="UNIVERS",$J$4,$J$3),IF(A20="Collection",$J$3,IF($C$3="PRODUIT PUR",$J$3,""))))</f>
        <v/>
      </c>
      <c r="F20" s="12">
        <f>IF(OR(D20="",E20=""),"",IF(D20&gt;=E20,"PASS",IF(D20&gt;=E20*$K$4,"REVIEW","STOP")))</f>
        <v/>
      </c>
      <c r="G20" s="23" t="n"/>
      <c r="H20" s="24" t="n"/>
      <c r="I20" s="24" t="n"/>
      <c r="J20" s="24">
        <f>IF(OR(H20="",I20=""),"",I20/1.2-H20)</f>
        <v/>
      </c>
      <c r="K20" s="12" t="n"/>
    </row>
    <row r="21">
      <c r="A21" s="12" t="n"/>
      <c r="B21" s="22">
        <f>IF(A21="","",IF(A21="Mot-clé principal","◆ "&amp;C21,IF(A21="Collection","    ├─ "&amp;C21,"         · "&amp;C21)))</f>
        <v/>
      </c>
      <c r="C21" s="12" t="n"/>
      <c r="D21" s="13" t="n"/>
      <c r="E21" s="13">
        <f>IF(A21="","",IF(A21="Mot-clé principal",IF($C$3="UNIVERS",$J$4,$J$3),IF(A21="Collection",$J$3,IF($C$3="PRODUIT PUR",$J$3,""))))</f>
        <v/>
      </c>
      <c r="F21" s="12">
        <f>IF(OR(D21="",E21=""),"",IF(D21&gt;=E21,"PASS",IF(D21&gt;=E21*$K$4,"REVIEW","STOP")))</f>
        <v/>
      </c>
      <c r="G21" s="23" t="n"/>
      <c r="H21" s="24" t="n"/>
      <c r="I21" s="24" t="n"/>
      <c r="J21" s="24">
        <f>IF(OR(H21="",I21=""),"",I21/1.2-H21)</f>
        <v/>
      </c>
      <c r="K21" s="12" t="n"/>
    </row>
    <row r="22">
      <c r="A22" s="12" t="n"/>
      <c r="B22" s="22">
        <f>IF(A22="","",IF(A22="Mot-clé principal","◆ "&amp;C22,IF(A22="Collection","    ├─ "&amp;C22,"         · "&amp;C22)))</f>
        <v/>
      </c>
      <c r="C22" s="12" t="n"/>
      <c r="D22" s="13" t="n"/>
      <c r="E22" s="13">
        <f>IF(A22="","",IF(A22="Mot-clé principal",IF($C$3="UNIVERS",$J$4,$J$3),IF(A22="Collection",$J$3,IF($C$3="PRODUIT PUR",$J$3,""))))</f>
        <v/>
      </c>
      <c r="F22" s="12">
        <f>IF(OR(D22="",E22=""),"",IF(D22&gt;=E22,"PASS",IF(D22&gt;=E22*$K$4,"REVIEW","STOP")))</f>
        <v/>
      </c>
      <c r="G22" s="23" t="n"/>
      <c r="H22" s="24" t="n"/>
      <c r="I22" s="24" t="n"/>
      <c r="J22" s="24">
        <f>IF(OR(H22="",I22=""),"",I22/1.2-H22)</f>
        <v/>
      </c>
      <c r="K22" s="12" t="n"/>
    </row>
    <row r="23">
      <c r="A23" s="12" t="n"/>
      <c r="B23" s="22">
        <f>IF(A23="","",IF(A23="Mot-clé principal","◆ "&amp;C23,IF(A23="Collection","    ├─ "&amp;C23,"         · "&amp;C23)))</f>
        <v/>
      </c>
      <c r="C23" s="12" t="n"/>
      <c r="D23" s="13" t="n"/>
      <c r="E23" s="13">
        <f>IF(A23="","",IF(A23="Mot-clé principal",IF($C$3="UNIVERS",$J$4,$J$3),IF(A23="Collection",$J$3,IF($C$3="PRODUIT PUR",$J$3,""))))</f>
        <v/>
      </c>
      <c r="F23" s="12">
        <f>IF(OR(D23="",E23=""),"",IF(D23&gt;=E23,"PASS",IF(D23&gt;=E23*$K$4,"REVIEW","STOP")))</f>
        <v/>
      </c>
      <c r="G23" s="23" t="n"/>
      <c r="H23" s="24" t="n"/>
      <c r="I23" s="24" t="n"/>
      <c r="J23" s="24">
        <f>IF(OR(H23="",I23=""),"",I23/1.2-H23)</f>
        <v/>
      </c>
      <c r="K23" s="12" t="n"/>
    </row>
    <row r="24">
      <c r="A24" s="12" t="n"/>
      <c r="B24" s="22">
        <f>IF(A24="","",IF(A24="Mot-clé principal","◆ "&amp;C24,IF(A24="Collection","    ├─ "&amp;C24,"         · "&amp;C24)))</f>
        <v/>
      </c>
      <c r="C24" s="12" t="n"/>
      <c r="D24" s="13" t="n"/>
      <c r="E24" s="13">
        <f>IF(A24="","",IF(A24="Mot-clé principal",IF($C$3="UNIVERS",$J$4,$J$3),IF(A24="Collection",$J$3,IF($C$3="PRODUIT PUR",$J$3,""))))</f>
        <v/>
      </c>
      <c r="F24" s="12">
        <f>IF(OR(D24="",E24=""),"",IF(D24&gt;=E24,"PASS",IF(D24&gt;=E24*$K$4,"REVIEW","STOP")))</f>
        <v/>
      </c>
      <c r="G24" s="23" t="n"/>
      <c r="H24" s="24" t="n"/>
      <c r="I24" s="24" t="n"/>
      <c r="J24" s="24">
        <f>IF(OR(H24="",I24=""),"",I24/1.2-H24)</f>
        <v/>
      </c>
      <c r="K24" s="12" t="n"/>
    </row>
    <row r="25">
      <c r="A25" s="12" t="n"/>
      <c r="B25" s="22">
        <f>IF(A25="","",IF(A25="Mot-clé principal","◆ "&amp;C25,IF(A25="Collection","    ├─ "&amp;C25,"         · "&amp;C25)))</f>
        <v/>
      </c>
      <c r="C25" s="12" t="n"/>
      <c r="D25" s="13" t="n"/>
      <c r="E25" s="13">
        <f>IF(A25="","",IF(A25="Mot-clé principal",IF($C$3="UNIVERS",$J$4,$J$3),IF(A25="Collection",$J$3,IF($C$3="PRODUIT PUR",$J$3,""))))</f>
        <v/>
      </c>
      <c r="F25" s="12">
        <f>IF(OR(D25="",E25=""),"",IF(D25&gt;=E25,"PASS",IF(D25&gt;=E25*$K$4,"REVIEW","STOP")))</f>
        <v/>
      </c>
      <c r="G25" s="23" t="n"/>
      <c r="H25" s="24" t="n"/>
      <c r="I25" s="24" t="n"/>
      <c r="J25" s="24">
        <f>IF(OR(H25="",I25=""),"",I25/1.2-H25)</f>
        <v/>
      </c>
      <c r="K25" s="12" t="n"/>
    </row>
    <row r="26">
      <c r="A26" s="12" t="n"/>
      <c r="B26" s="22">
        <f>IF(A26="","",IF(A26="Mot-clé principal","◆ "&amp;C26,IF(A26="Collection","    ├─ "&amp;C26,"         · "&amp;C26)))</f>
        <v/>
      </c>
      <c r="C26" s="12" t="n"/>
      <c r="D26" s="13" t="n"/>
      <c r="E26" s="13">
        <f>IF(A26="","",IF(A26="Mot-clé principal",IF($C$3="UNIVERS",$J$4,$J$3),IF(A26="Collection",$J$3,IF($C$3="PRODUIT PUR",$J$3,""))))</f>
        <v/>
      </c>
      <c r="F26" s="12">
        <f>IF(OR(D26="",E26=""),"",IF(D26&gt;=E26,"PASS",IF(D26&gt;=E26*$K$4,"REVIEW","STOP")))</f>
        <v/>
      </c>
      <c r="G26" s="23" t="n"/>
      <c r="H26" s="24" t="n"/>
      <c r="I26" s="24" t="n"/>
      <c r="J26" s="24">
        <f>IF(OR(H26="",I26=""),"",I26/1.2-H26)</f>
        <v/>
      </c>
      <c r="K26" s="12" t="n"/>
    </row>
    <row r="27">
      <c r="A27" s="12" t="n"/>
      <c r="B27" s="22">
        <f>IF(A27="","",IF(A27="Mot-clé principal","◆ "&amp;C27,IF(A27="Collection","    ├─ "&amp;C27,"         · "&amp;C27)))</f>
        <v/>
      </c>
      <c r="C27" s="12" t="n"/>
      <c r="D27" s="13" t="n"/>
      <c r="E27" s="13">
        <f>IF(A27="","",IF(A27="Mot-clé principal",IF($C$3="UNIVERS",$J$4,$J$3),IF(A27="Collection",$J$3,IF($C$3="PRODUIT PUR",$J$3,""))))</f>
        <v/>
      </c>
      <c r="F27" s="12">
        <f>IF(OR(D27="",E27=""),"",IF(D27&gt;=E27,"PASS",IF(D27&gt;=E27*$K$4,"REVIEW","STOP")))</f>
        <v/>
      </c>
      <c r="G27" s="23" t="n"/>
      <c r="H27" s="24" t="n"/>
      <c r="I27" s="24" t="n"/>
      <c r="J27" s="24">
        <f>IF(OR(H27="",I27=""),"",I27/1.2-H27)</f>
        <v/>
      </c>
      <c r="K27" s="12" t="n"/>
    </row>
    <row r="28">
      <c r="A28" s="12" t="n"/>
      <c r="B28" s="22">
        <f>IF(A28="","",IF(A28="Mot-clé principal","◆ "&amp;C28,IF(A28="Collection","    ├─ "&amp;C28,"         · "&amp;C28)))</f>
        <v/>
      </c>
      <c r="C28" s="12" t="n"/>
      <c r="D28" s="13" t="n"/>
      <c r="E28" s="13">
        <f>IF(A28="","",IF(A28="Mot-clé principal",IF($C$3="UNIVERS",$J$4,$J$3),IF(A28="Collection",$J$3,IF($C$3="PRODUIT PUR",$J$3,""))))</f>
        <v/>
      </c>
      <c r="F28" s="12">
        <f>IF(OR(D28="",E28=""),"",IF(D28&gt;=E28,"PASS",IF(D28&gt;=E28*$K$4,"REVIEW","STOP")))</f>
        <v/>
      </c>
      <c r="G28" s="23" t="n"/>
      <c r="H28" s="24" t="n"/>
      <c r="I28" s="24" t="n"/>
      <c r="J28" s="24">
        <f>IF(OR(H28="",I28=""),"",I28/1.2-H28)</f>
        <v/>
      </c>
      <c r="K28" s="12" t="n"/>
    </row>
    <row r="29">
      <c r="A29" s="12" t="n"/>
      <c r="B29" s="22">
        <f>IF(A29="","",IF(A29="Mot-clé principal","◆ "&amp;C29,IF(A29="Collection","    ├─ "&amp;C29,"         · "&amp;C29)))</f>
        <v/>
      </c>
      <c r="C29" s="12" t="n"/>
      <c r="D29" s="13" t="n"/>
      <c r="E29" s="13">
        <f>IF(A29="","",IF(A29="Mot-clé principal",IF($C$3="UNIVERS",$J$4,$J$3),IF(A29="Collection",$J$3,IF($C$3="PRODUIT PUR",$J$3,""))))</f>
        <v/>
      </c>
      <c r="F29" s="12">
        <f>IF(OR(D29="",E29=""),"",IF(D29&gt;=E29,"PASS",IF(D29&gt;=E29*$K$4,"REVIEW","STOP")))</f>
        <v/>
      </c>
      <c r="G29" s="23" t="n"/>
      <c r="H29" s="24" t="n"/>
      <c r="I29" s="24" t="n"/>
      <c r="J29" s="24">
        <f>IF(OR(H29="",I29=""),"",I29/1.2-H29)</f>
        <v/>
      </c>
      <c r="K29" s="12" t="n"/>
    </row>
    <row r="30">
      <c r="A30" s="12" t="n"/>
      <c r="B30" s="22">
        <f>IF(A30="","",IF(A30="Mot-clé principal","◆ "&amp;C30,IF(A30="Collection","    ├─ "&amp;C30,"         · "&amp;C30)))</f>
        <v/>
      </c>
      <c r="C30" s="12" t="n"/>
      <c r="D30" s="13" t="n"/>
      <c r="E30" s="13">
        <f>IF(A30="","",IF(A30="Mot-clé principal",IF($C$3="UNIVERS",$J$4,$J$3),IF(A30="Collection",$J$3,IF($C$3="PRODUIT PUR",$J$3,""))))</f>
        <v/>
      </c>
      <c r="F30" s="12">
        <f>IF(OR(D30="",E30=""),"",IF(D30&gt;=E30,"PASS",IF(D30&gt;=E30*$K$4,"REVIEW","STOP")))</f>
        <v/>
      </c>
      <c r="G30" s="23" t="n"/>
      <c r="H30" s="24" t="n"/>
      <c r="I30" s="24" t="n"/>
      <c r="J30" s="24">
        <f>IF(OR(H30="",I30=""),"",I30/1.2-H30)</f>
        <v/>
      </c>
      <c r="K30" s="12" t="n"/>
    </row>
    <row r="31">
      <c r="A31" s="12" t="n"/>
      <c r="B31" s="22">
        <f>IF(A31="","",IF(A31="Mot-clé principal","◆ "&amp;C31,IF(A31="Collection","    ├─ "&amp;C31,"         · "&amp;C31)))</f>
        <v/>
      </c>
      <c r="C31" s="12" t="n"/>
      <c r="D31" s="13" t="n"/>
      <c r="E31" s="13">
        <f>IF(A31="","",IF(A31="Mot-clé principal",IF($C$3="UNIVERS",$J$4,$J$3),IF(A31="Collection",$J$3,IF($C$3="PRODUIT PUR",$J$3,""))))</f>
        <v/>
      </c>
      <c r="F31" s="12">
        <f>IF(OR(D31="",E31=""),"",IF(D31&gt;=E31,"PASS",IF(D31&gt;=E31*$K$4,"REVIEW","STOP")))</f>
        <v/>
      </c>
      <c r="G31" s="23" t="n"/>
      <c r="H31" s="24" t="n"/>
      <c r="I31" s="24" t="n"/>
      <c r="J31" s="24">
        <f>IF(OR(H31="",I31=""),"",I31/1.2-H31)</f>
        <v/>
      </c>
      <c r="K31" s="12" t="n"/>
    </row>
    <row r="32">
      <c r="A32" s="12" t="n"/>
      <c r="B32" s="22">
        <f>IF(A32="","",IF(A32="Mot-clé principal","◆ "&amp;C32,IF(A32="Collection","    ├─ "&amp;C32,"         · "&amp;C32)))</f>
        <v/>
      </c>
      <c r="C32" s="12" t="n"/>
      <c r="D32" s="13" t="n"/>
      <c r="E32" s="13">
        <f>IF(A32="","",IF(A32="Mot-clé principal",IF($C$3="UNIVERS",$J$4,$J$3),IF(A32="Collection",$J$3,IF($C$3="PRODUIT PUR",$J$3,""))))</f>
        <v/>
      </c>
      <c r="F32" s="12">
        <f>IF(OR(D32="",E32=""),"",IF(D32&gt;=E32,"PASS",IF(D32&gt;=E32*$K$4,"REVIEW","STOP")))</f>
        <v/>
      </c>
      <c r="G32" s="23" t="n"/>
      <c r="H32" s="24" t="n"/>
      <c r="I32" s="24" t="n"/>
      <c r="J32" s="24">
        <f>IF(OR(H32="",I32=""),"",I32/1.2-H32)</f>
        <v/>
      </c>
      <c r="K32" s="12" t="n"/>
    </row>
    <row r="33">
      <c r="A33" s="12" t="n"/>
      <c r="B33" s="22">
        <f>IF(A33="","",IF(A33="Mot-clé principal","◆ "&amp;C33,IF(A33="Collection","    ├─ "&amp;C33,"         · "&amp;C33)))</f>
        <v/>
      </c>
      <c r="C33" s="12" t="n"/>
      <c r="D33" s="13" t="n"/>
      <c r="E33" s="13">
        <f>IF(A33="","",IF(A33="Mot-clé principal",IF($C$3="UNIVERS",$J$4,$J$3),IF(A33="Collection",$J$3,IF($C$3="PRODUIT PUR",$J$3,""))))</f>
        <v/>
      </c>
      <c r="F33" s="12">
        <f>IF(OR(D33="",E33=""),"",IF(D33&gt;=E33,"PASS",IF(D33&gt;=E33*$K$4,"REVIEW","STOP")))</f>
        <v/>
      </c>
      <c r="G33" s="23" t="n"/>
      <c r="H33" s="24" t="n"/>
      <c r="I33" s="24" t="n"/>
      <c r="J33" s="24">
        <f>IF(OR(H33="",I33=""),"",I33/1.2-H33)</f>
        <v/>
      </c>
      <c r="K33" s="12" t="n"/>
    </row>
    <row r="34">
      <c r="A34" s="12" t="n"/>
      <c r="B34" s="22">
        <f>IF(A34="","",IF(A34="Mot-clé principal","◆ "&amp;C34,IF(A34="Collection","    ├─ "&amp;C34,"         · "&amp;C34)))</f>
        <v/>
      </c>
      <c r="C34" s="12" t="n"/>
      <c r="D34" s="13" t="n"/>
      <c r="E34" s="13">
        <f>IF(A34="","",IF(A34="Mot-clé principal",IF($C$3="UNIVERS",$J$4,$J$3),IF(A34="Collection",$J$3,IF($C$3="PRODUIT PUR",$J$3,""))))</f>
        <v/>
      </c>
      <c r="F34" s="12">
        <f>IF(OR(D34="",E34=""),"",IF(D34&gt;=E34,"PASS",IF(D34&gt;=E34*$K$4,"REVIEW","STOP")))</f>
        <v/>
      </c>
      <c r="G34" s="23" t="n"/>
      <c r="H34" s="24" t="n"/>
      <c r="I34" s="24" t="n"/>
      <c r="J34" s="24">
        <f>IF(OR(H34="",I34=""),"",I34/1.2-H34)</f>
        <v/>
      </c>
      <c r="K34" s="12" t="n"/>
    </row>
    <row r="35">
      <c r="A35" s="12" t="n"/>
      <c r="B35" s="22">
        <f>IF(A35="","",IF(A35="Mot-clé principal","◆ "&amp;C35,IF(A35="Collection","    ├─ "&amp;C35,"         · "&amp;C35)))</f>
        <v/>
      </c>
      <c r="C35" s="12" t="n"/>
      <c r="D35" s="13" t="n"/>
      <c r="E35" s="13">
        <f>IF(A35="","",IF(A35="Mot-clé principal",IF($C$3="UNIVERS",$J$4,$J$3),IF(A35="Collection",$J$3,IF($C$3="PRODUIT PUR",$J$3,""))))</f>
        <v/>
      </c>
      <c r="F35" s="12">
        <f>IF(OR(D35="",E35=""),"",IF(D35&gt;=E35,"PASS",IF(D35&gt;=E35*$K$4,"REVIEW","STOP")))</f>
        <v/>
      </c>
      <c r="G35" s="23" t="n"/>
      <c r="H35" s="24" t="n"/>
      <c r="I35" s="24" t="n"/>
      <c r="J35" s="24">
        <f>IF(OR(H35="",I35=""),"",I35/1.2-H35)</f>
        <v/>
      </c>
      <c r="K35" s="12" t="n"/>
    </row>
    <row r="36">
      <c r="A36" s="12" t="n"/>
      <c r="B36" s="22">
        <f>IF(A36="","",IF(A36="Mot-clé principal","◆ "&amp;C36,IF(A36="Collection","    ├─ "&amp;C36,"         · "&amp;C36)))</f>
        <v/>
      </c>
      <c r="C36" s="12" t="n"/>
      <c r="D36" s="13" t="n"/>
      <c r="E36" s="13">
        <f>IF(A36="","",IF(A36="Mot-clé principal",IF($C$3="UNIVERS",$J$4,$J$3),IF(A36="Collection",$J$3,IF($C$3="PRODUIT PUR",$J$3,""))))</f>
        <v/>
      </c>
      <c r="F36" s="12">
        <f>IF(OR(D36="",E36=""),"",IF(D36&gt;=E36,"PASS",IF(D36&gt;=E36*$K$4,"REVIEW","STOP")))</f>
        <v/>
      </c>
      <c r="G36" s="23" t="n"/>
      <c r="H36" s="24" t="n"/>
      <c r="I36" s="24" t="n"/>
      <c r="J36" s="24">
        <f>IF(OR(H36="",I36=""),"",I36/1.2-H36)</f>
        <v/>
      </c>
      <c r="K36" s="12" t="n"/>
    </row>
    <row r="37">
      <c r="A37" s="12" t="n"/>
      <c r="B37" s="22">
        <f>IF(A37="","",IF(A37="Mot-clé principal","◆ "&amp;C37,IF(A37="Collection","    ├─ "&amp;C37,"         · "&amp;C37)))</f>
        <v/>
      </c>
      <c r="C37" s="12" t="n"/>
      <c r="D37" s="13" t="n"/>
      <c r="E37" s="13">
        <f>IF(A37="","",IF(A37="Mot-clé principal",IF($C$3="UNIVERS",$J$4,$J$3),IF(A37="Collection",$J$3,IF($C$3="PRODUIT PUR",$J$3,""))))</f>
        <v/>
      </c>
      <c r="F37" s="12">
        <f>IF(OR(D37="",E37=""),"",IF(D37&gt;=E37,"PASS",IF(D37&gt;=E37*$K$4,"REVIEW","STOP")))</f>
        <v/>
      </c>
      <c r="G37" s="23" t="n"/>
      <c r="H37" s="24" t="n"/>
      <c r="I37" s="24" t="n"/>
      <c r="J37" s="24">
        <f>IF(OR(H37="",I37=""),"",I37/1.2-H37)</f>
        <v/>
      </c>
      <c r="K37" s="12" t="n"/>
    </row>
    <row r="38">
      <c r="A38" s="12" t="n"/>
      <c r="B38" s="22">
        <f>IF(A38="","",IF(A38="Mot-clé principal","◆ "&amp;C38,IF(A38="Collection","    ├─ "&amp;C38,"         · "&amp;C38)))</f>
        <v/>
      </c>
      <c r="C38" s="12" t="n"/>
      <c r="D38" s="13" t="n"/>
      <c r="E38" s="13">
        <f>IF(A38="","",IF(A38="Mot-clé principal",IF($C$3="UNIVERS",$J$4,$J$3),IF(A38="Collection",$J$3,IF($C$3="PRODUIT PUR",$J$3,""))))</f>
        <v/>
      </c>
      <c r="F38" s="12">
        <f>IF(OR(D38="",E38=""),"",IF(D38&gt;=E38,"PASS",IF(D38&gt;=E38*$K$4,"REVIEW","STOP")))</f>
        <v/>
      </c>
      <c r="G38" s="23" t="n"/>
      <c r="H38" s="24" t="n"/>
      <c r="I38" s="24" t="n"/>
      <c r="J38" s="24">
        <f>IF(OR(H38="",I38=""),"",I38/1.2-H38)</f>
        <v/>
      </c>
      <c r="K38" s="12" t="n"/>
    </row>
    <row r="39">
      <c r="A39" s="12" t="n"/>
      <c r="B39" s="22">
        <f>IF(A39="","",IF(A39="Mot-clé principal","◆ "&amp;C39,IF(A39="Collection","    ├─ "&amp;C39,"         · "&amp;C39)))</f>
        <v/>
      </c>
      <c r="C39" s="12" t="n"/>
      <c r="D39" s="13" t="n"/>
      <c r="E39" s="13">
        <f>IF(A39="","",IF(A39="Mot-clé principal",IF($C$3="UNIVERS",$J$4,$J$3),IF(A39="Collection",$J$3,IF($C$3="PRODUIT PUR",$J$3,""))))</f>
        <v/>
      </c>
      <c r="F39" s="12">
        <f>IF(OR(D39="",E39=""),"",IF(D39&gt;=E39,"PASS",IF(D39&gt;=E39*$K$4,"REVIEW","STOP")))</f>
        <v/>
      </c>
      <c r="G39" s="23" t="n"/>
      <c r="H39" s="24" t="n"/>
      <c r="I39" s="24" t="n"/>
      <c r="J39" s="24">
        <f>IF(OR(H39="",I39=""),"",I39/1.2-H39)</f>
        <v/>
      </c>
      <c r="K39" s="12" t="n"/>
    </row>
    <row r="40">
      <c r="A40" s="12" t="n"/>
      <c r="B40" s="22">
        <f>IF(A40="","",IF(A40="Mot-clé principal","◆ "&amp;C40,IF(A40="Collection","    ├─ "&amp;C40,"         · "&amp;C40)))</f>
        <v/>
      </c>
      <c r="C40" s="12" t="n"/>
      <c r="D40" s="13" t="n"/>
      <c r="E40" s="13">
        <f>IF(A40="","",IF(A40="Mot-clé principal",IF($C$3="UNIVERS",$J$4,$J$3),IF(A40="Collection",$J$3,IF($C$3="PRODUIT PUR",$J$3,""))))</f>
        <v/>
      </c>
      <c r="F40" s="12">
        <f>IF(OR(D40="",E40=""),"",IF(D40&gt;=E40,"PASS",IF(D40&gt;=E40*$K$4,"REVIEW","STOP")))</f>
        <v/>
      </c>
      <c r="G40" s="23" t="n"/>
      <c r="H40" s="24" t="n"/>
      <c r="I40" s="24" t="n"/>
      <c r="J40" s="24">
        <f>IF(OR(H40="",I40=""),"",I40/1.2-H40)</f>
        <v/>
      </c>
      <c r="K40" s="12" t="n"/>
    </row>
    <row r="41">
      <c r="A41" s="12" t="n"/>
      <c r="B41" s="22">
        <f>IF(A41="","",IF(A41="Mot-clé principal","◆ "&amp;C41,IF(A41="Collection","    ├─ "&amp;C41,"         · "&amp;C41)))</f>
        <v/>
      </c>
      <c r="C41" s="12" t="n"/>
      <c r="D41" s="13" t="n"/>
      <c r="E41" s="13">
        <f>IF(A41="","",IF(A41="Mot-clé principal",IF($C$3="UNIVERS",$J$4,$J$3),IF(A41="Collection",$J$3,IF($C$3="PRODUIT PUR",$J$3,""))))</f>
        <v/>
      </c>
      <c r="F41" s="12">
        <f>IF(OR(D41="",E41=""),"",IF(D41&gt;=E41,"PASS",IF(D41&gt;=E41*$K$4,"REVIEW","STOP")))</f>
        <v/>
      </c>
      <c r="G41" s="23" t="n"/>
      <c r="H41" s="24" t="n"/>
      <c r="I41" s="24" t="n"/>
      <c r="J41" s="24">
        <f>IF(OR(H41="",I41=""),"",I41/1.2-H41)</f>
        <v/>
      </c>
      <c r="K41" s="12" t="n"/>
    </row>
    <row r="42">
      <c r="A42" s="12" t="n"/>
      <c r="B42" s="22">
        <f>IF(A42="","",IF(A42="Mot-clé principal","◆ "&amp;C42,IF(A42="Collection","    ├─ "&amp;C42,"         · "&amp;C42)))</f>
        <v/>
      </c>
      <c r="C42" s="12" t="n"/>
      <c r="D42" s="13" t="n"/>
      <c r="E42" s="13">
        <f>IF(A42="","",IF(A42="Mot-clé principal",IF($C$3="UNIVERS",$J$4,$J$3),IF(A42="Collection",$J$3,IF($C$3="PRODUIT PUR",$J$3,""))))</f>
        <v/>
      </c>
      <c r="F42" s="12">
        <f>IF(OR(D42="",E42=""),"",IF(D42&gt;=E42,"PASS",IF(D42&gt;=E42*$K$4,"REVIEW","STOP")))</f>
        <v/>
      </c>
      <c r="G42" s="23" t="n"/>
      <c r="H42" s="24" t="n"/>
      <c r="I42" s="24" t="n"/>
      <c r="J42" s="24">
        <f>IF(OR(H42="",I42=""),"",I42/1.2-H42)</f>
        <v/>
      </c>
      <c r="K42" s="12" t="n"/>
    </row>
    <row r="43">
      <c r="A43" s="12" t="n"/>
      <c r="B43" s="22">
        <f>IF(A43="","",IF(A43="Mot-clé principal","◆ "&amp;C43,IF(A43="Collection","    ├─ "&amp;C43,"         · "&amp;C43)))</f>
        <v/>
      </c>
      <c r="C43" s="12" t="n"/>
      <c r="D43" s="13" t="n"/>
      <c r="E43" s="13">
        <f>IF(A43="","",IF(A43="Mot-clé principal",IF($C$3="UNIVERS",$J$4,$J$3),IF(A43="Collection",$J$3,IF($C$3="PRODUIT PUR",$J$3,""))))</f>
        <v/>
      </c>
      <c r="F43" s="12">
        <f>IF(OR(D43="",E43=""),"",IF(D43&gt;=E43,"PASS",IF(D43&gt;=E43*$K$4,"REVIEW","STOP")))</f>
        <v/>
      </c>
      <c r="G43" s="23" t="n"/>
      <c r="H43" s="24" t="n"/>
      <c r="I43" s="24" t="n"/>
      <c r="J43" s="24">
        <f>IF(OR(H43="",I43=""),"",I43/1.2-H43)</f>
        <v/>
      </c>
      <c r="K43" s="12" t="n"/>
    </row>
    <row r="44">
      <c r="A44" s="12" t="n"/>
      <c r="B44" s="22">
        <f>IF(A44="","",IF(A44="Mot-clé principal","◆ "&amp;C44,IF(A44="Collection","    ├─ "&amp;C44,"         · "&amp;C44)))</f>
        <v/>
      </c>
      <c r="C44" s="12" t="n"/>
      <c r="D44" s="13" t="n"/>
      <c r="E44" s="13">
        <f>IF(A44="","",IF(A44="Mot-clé principal",IF($C$3="UNIVERS",$J$4,$J$3),IF(A44="Collection",$J$3,IF($C$3="PRODUIT PUR",$J$3,""))))</f>
        <v/>
      </c>
      <c r="F44" s="12">
        <f>IF(OR(D44="",E44=""),"",IF(D44&gt;=E44,"PASS",IF(D44&gt;=E44*$K$4,"REVIEW","STOP")))</f>
        <v/>
      </c>
      <c r="G44" s="23" t="n"/>
      <c r="H44" s="24" t="n"/>
      <c r="I44" s="24" t="n"/>
      <c r="J44" s="24">
        <f>IF(OR(H44="",I44=""),"",I44/1.2-H44)</f>
        <v/>
      </c>
      <c r="K44" s="12" t="n"/>
    </row>
    <row r="45">
      <c r="A45" s="12" t="n"/>
      <c r="B45" s="22">
        <f>IF(A45="","",IF(A45="Mot-clé principal","◆ "&amp;C45,IF(A45="Collection","    ├─ "&amp;C45,"         · "&amp;C45)))</f>
        <v/>
      </c>
      <c r="C45" s="12" t="n"/>
      <c r="D45" s="13" t="n"/>
      <c r="E45" s="13">
        <f>IF(A45="","",IF(A45="Mot-clé principal",IF($C$3="UNIVERS",$J$4,$J$3),IF(A45="Collection",$J$3,IF($C$3="PRODUIT PUR",$J$3,""))))</f>
        <v/>
      </c>
      <c r="F45" s="12">
        <f>IF(OR(D45="",E45=""),"",IF(D45&gt;=E45,"PASS",IF(D45&gt;=E45*$K$4,"REVIEW","STOP")))</f>
        <v/>
      </c>
      <c r="G45" s="23" t="n"/>
      <c r="H45" s="24" t="n"/>
      <c r="I45" s="24" t="n"/>
      <c r="J45" s="24">
        <f>IF(OR(H45="",I45=""),"",I45/1.2-H45)</f>
        <v/>
      </c>
      <c r="K45" s="12" t="n"/>
    </row>
    <row r="46">
      <c r="A46" s="12" t="n"/>
      <c r="B46" s="22">
        <f>IF(A46="","",IF(A46="Mot-clé principal","◆ "&amp;C46,IF(A46="Collection","    ├─ "&amp;C46,"         · "&amp;C46)))</f>
        <v/>
      </c>
      <c r="C46" s="12" t="n"/>
      <c r="D46" s="13" t="n"/>
      <c r="E46" s="13">
        <f>IF(A46="","",IF(A46="Mot-clé principal",IF($C$3="UNIVERS",$J$4,$J$3),IF(A46="Collection",$J$3,IF($C$3="PRODUIT PUR",$J$3,""))))</f>
        <v/>
      </c>
      <c r="F46" s="12">
        <f>IF(OR(D46="",E46=""),"",IF(D46&gt;=E46,"PASS",IF(D46&gt;=E46*$K$4,"REVIEW","STOP")))</f>
        <v/>
      </c>
      <c r="G46" s="23" t="n"/>
      <c r="H46" s="24" t="n"/>
      <c r="I46" s="24" t="n"/>
      <c r="J46" s="24">
        <f>IF(OR(H46="",I46=""),"",I46/1.2-H46)</f>
        <v/>
      </c>
      <c r="K46" s="12" t="n"/>
    </row>
    <row r="47">
      <c r="A47" s="12" t="n"/>
      <c r="B47" s="22">
        <f>IF(A47="","",IF(A47="Mot-clé principal","◆ "&amp;C47,IF(A47="Collection","    ├─ "&amp;C47,"         · "&amp;C47)))</f>
        <v/>
      </c>
      <c r="C47" s="12" t="n"/>
      <c r="D47" s="13" t="n"/>
      <c r="E47" s="13">
        <f>IF(A47="","",IF(A47="Mot-clé principal",IF($C$3="UNIVERS",$J$4,$J$3),IF(A47="Collection",$J$3,IF($C$3="PRODUIT PUR",$J$3,""))))</f>
        <v/>
      </c>
      <c r="F47" s="12">
        <f>IF(OR(D47="",E47=""),"",IF(D47&gt;=E47,"PASS",IF(D47&gt;=E47*$K$4,"REVIEW","STOP")))</f>
        <v/>
      </c>
      <c r="G47" s="23" t="n"/>
      <c r="H47" s="24" t="n"/>
      <c r="I47" s="24" t="n"/>
      <c r="J47" s="24">
        <f>IF(OR(H47="",I47=""),"",I47/1.2-H47)</f>
        <v/>
      </c>
      <c r="K47" s="12" t="n"/>
    </row>
    <row r="48">
      <c r="A48" s="12" t="n"/>
      <c r="B48" s="22">
        <f>IF(A48="","",IF(A48="Mot-clé principal","◆ "&amp;C48,IF(A48="Collection","    ├─ "&amp;C48,"         · "&amp;C48)))</f>
        <v/>
      </c>
      <c r="C48" s="12" t="n"/>
      <c r="D48" s="13" t="n"/>
      <c r="E48" s="13">
        <f>IF(A48="","",IF(A48="Mot-clé principal",IF($C$3="UNIVERS",$J$4,$J$3),IF(A48="Collection",$J$3,IF($C$3="PRODUIT PUR",$J$3,""))))</f>
        <v/>
      </c>
      <c r="F48" s="12">
        <f>IF(OR(D48="",E48=""),"",IF(D48&gt;=E48,"PASS",IF(D48&gt;=E48*$K$4,"REVIEW","STOP")))</f>
        <v/>
      </c>
      <c r="G48" s="23" t="n"/>
      <c r="H48" s="24" t="n"/>
      <c r="I48" s="24" t="n"/>
      <c r="J48" s="24">
        <f>IF(OR(H48="",I48=""),"",I48/1.2-H48)</f>
        <v/>
      </c>
      <c r="K48" s="12" t="n"/>
    </row>
    <row r="49">
      <c r="A49" s="12" t="n"/>
      <c r="B49" s="22">
        <f>IF(A49="","",IF(A49="Mot-clé principal","◆ "&amp;C49,IF(A49="Collection","    ├─ "&amp;C49,"         · "&amp;C49)))</f>
        <v/>
      </c>
      <c r="C49" s="12" t="n"/>
      <c r="D49" s="13" t="n"/>
      <c r="E49" s="13">
        <f>IF(A49="","",IF(A49="Mot-clé principal",IF($C$3="UNIVERS",$J$4,$J$3),IF(A49="Collection",$J$3,IF($C$3="PRODUIT PUR",$J$3,""))))</f>
        <v/>
      </c>
      <c r="F49" s="12">
        <f>IF(OR(D49="",E49=""),"",IF(D49&gt;=E49,"PASS",IF(D49&gt;=E49*$K$4,"REVIEW","STOP")))</f>
        <v/>
      </c>
      <c r="G49" s="23" t="n"/>
      <c r="H49" s="24" t="n"/>
      <c r="I49" s="24" t="n"/>
      <c r="J49" s="24">
        <f>IF(OR(H49="",I49=""),"",I49/1.2-H49)</f>
        <v/>
      </c>
      <c r="K49" s="12" t="n"/>
    </row>
    <row r="50">
      <c r="A50" s="12" t="n"/>
      <c r="B50" s="22">
        <f>IF(A50="","",IF(A50="Mot-clé principal","◆ "&amp;C50,IF(A50="Collection","    ├─ "&amp;C50,"         · "&amp;C50)))</f>
        <v/>
      </c>
      <c r="C50" s="12" t="n"/>
      <c r="D50" s="13" t="n"/>
      <c r="E50" s="13">
        <f>IF(A50="","",IF(A50="Mot-clé principal",IF($C$3="UNIVERS",$J$4,$J$3),IF(A50="Collection",$J$3,IF($C$3="PRODUIT PUR",$J$3,""))))</f>
        <v/>
      </c>
      <c r="F50" s="12">
        <f>IF(OR(D50="",E50=""),"",IF(D50&gt;=E50,"PASS",IF(D50&gt;=E50*$K$4,"REVIEW","STOP")))</f>
        <v/>
      </c>
      <c r="G50" s="23" t="n"/>
      <c r="H50" s="24" t="n"/>
      <c r="I50" s="24" t="n"/>
      <c r="J50" s="24">
        <f>IF(OR(H50="",I50=""),"",I50/1.2-H50)</f>
        <v/>
      </c>
      <c r="K50" s="12" t="n"/>
    </row>
    <row r="51">
      <c r="A51" s="12" t="n"/>
      <c r="B51" s="22">
        <f>IF(A51="","",IF(A51="Mot-clé principal","◆ "&amp;C51,IF(A51="Collection","    ├─ "&amp;C51,"         · "&amp;C51)))</f>
        <v/>
      </c>
      <c r="C51" s="12" t="n"/>
      <c r="D51" s="13" t="n"/>
      <c r="E51" s="13">
        <f>IF(A51="","",IF(A51="Mot-clé principal",IF($C$3="UNIVERS",$J$4,$J$3),IF(A51="Collection",$J$3,IF($C$3="PRODUIT PUR",$J$3,""))))</f>
        <v/>
      </c>
      <c r="F51" s="12">
        <f>IF(OR(D51="",E51=""),"",IF(D51&gt;=E51,"PASS",IF(D51&gt;=E51*$K$4,"REVIEW","STOP")))</f>
        <v/>
      </c>
      <c r="G51" s="23" t="n"/>
      <c r="H51" s="24" t="n"/>
      <c r="I51" s="24" t="n"/>
      <c r="J51" s="24">
        <f>IF(OR(H51="",I51=""),"",I51/1.2-H51)</f>
        <v/>
      </c>
      <c r="K51" s="12" t="n"/>
    </row>
    <row r="52">
      <c r="A52" s="12" t="n"/>
      <c r="B52" s="22">
        <f>IF(A52="","",IF(A52="Mot-clé principal","◆ "&amp;C52,IF(A52="Collection","    ├─ "&amp;C52,"         · "&amp;C52)))</f>
        <v/>
      </c>
      <c r="C52" s="12" t="n"/>
      <c r="D52" s="13" t="n"/>
      <c r="E52" s="13">
        <f>IF(A52="","",IF(A52="Mot-clé principal",IF($C$3="UNIVERS",$J$4,$J$3),IF(A52="Collection",$J$3,IF($C$3="PRODUIT PUR",$J$3,""))))</f>
        <v/>
      </c>
      <c r="F52" s="12">
        <f>IF(OR(D52="",E52=""),"",IF(D52&gt;=E52,"PASS",IF(D52&gt;=E52*$K$4,"REVIEW","STOP")))</f>
        <v/>
      </c>
      <c r="G52" s="23" t="n"/>
      <c r="H52" s="24" t="n"/>
      <c r="I52" s="24" t="n"/>
      <c r="J52" s="24">
        <f>IF(OR(H52="",I52=""),"",I52/1.2-H52)</f>
        <v/>
      </c>
      <c r="K52" s="12" t="n"/>
    </row>
    <row r="53">
      <c r="A53" s="12" t="n"/>
      <c r="B53" s="22">
        <f>IF(A53="","",IF(A53="Mot-clé principal","◆ "&amp;C53,IF(A53="Collection","    ├─ "&amp;C53,"         · "&amp;C53)))</f>
        <v/>
      </c>
      <c r="C53" s="12" t="n"/>
      <c r="D53" s="13" t="n"/>
      <c r="E53" s="13">
        <f>IF(A53="","",IF(A53="Mot-clé principal",IF($C$3="UNIVERS",$J$4,$J$3),IF(A53="Collection",$J$3,IF($C$3="PRODUIT PUR",$J$3,""))))</f>
        <v/>
      </c>
      <c r="F53" s="12">
        <f>IF(OR(D53="",E53=""),"",IF(D53&gt;=E53,"PASS",IF(D53&gt;=E53*$K$4,"REVIEW","STOP")))</f>
        <v/>
      </c>
      <c r="G53" s="23" t="n"/>
      <c r="H53" s="24" t="n"/>
      <c r="I53" s="24" t="n"/>
      <c r="J53" s="24">
        <f>IF(OR(H53="",I53=""),"",I53/1.2-H53)</f>
        <v/>
      </c>
      <c r="K53" s="12" t="n"/>
    </row>
    <row r="54">
      <c r="A54" s="12" t="n"/>
      <c r="B54" s="22">
        <f>IF(A54="","",IF(A54="Mot-clé principal","◆ "&amp;C54,IF(A54="Collection","    ├─ "&amp;C54,"         · "&amp;C54)))</f>
        <v/>
      </c>
      <c r="C54" s="12" t="n"/>
      <c r="D54" s="13" t="n"/>
      <c r="E54" s="13">
        <f>IF(A54="","",IF(A54="Mot-clé principal",IF($C$3="UNIVERS",$J$4,$J$3),IF(A54="Collection",$J$3,IF($C$3="PRODUIT PUR",$J$3,""))))</f>
        <v/>
      </c>
      <c r="F54" s="12">
        <f>IF(OR(D54="",E54=""),"",IF(D54&gt;=E54,"PASS",IF(D54&gt;=E54*$K$4,"REVIEW","STOP")))</f>
        <v/>
      </c>
      <c r="G54" s="23" t="n"/>
      <c r="H54" s="24" t="n"/>
      <c r="I54" s="24" t="n"/>
      <c r="J54" s="24">
        <f>IF(OR(H54="",I54=""),"",I54/1.2-H54)</f>
        <v/>
      </c>
      <c r="K54" s="12" t="n"/>
    </row>
    <row r="55">
      <c r="A55" s="12" t="n"/>
      <c r="B55" s="22">
        <f>IF(A55="","",IF(A55="Mot-clé principal","◆ "&amp;C55,IF(A55="Collection","    ├─ "&amp;C55,"         · "&amp;C55)))</f>
        <v/>
      </c>
      <c r="C55" s="12" t="n"/>
      <c r="D55" s="13" t="n"/>
      <c r="E55" s="13">
        <f>IF(A55="","",IF(A55="Mot-clé principal",IF($C$3="UNIVERS",$J$4,$J$3),IF(A55="Collection",$J$3,IF($C$3="PRODUIT PUR",$J$3,""))))</f>
        <v/>
      </c>
      <c r="F55" s="12">
        <f>IF(OR(D55="",E55=""),"",IF(D55&gt;=E55,"PASS",IF(D55&gt;=E55*$K$4,"REVIEW","STOP")))</f>
        <v/>
      </c>
      <c r="G55" s="23" t="n"/>
      <c r="H55" s="24" t="n"/>
      <c r="I55" s="24" t="n"/>
      <c r="J55" s="24">
        <f>IF(OR(H55="",I55=""),"",I55/1.2-H55)</f>
        <v/>
      </c>
      <c r="K55" s="12" t="n"/>
    </row>
    <row r="56">
      <c r="A56" s="12" t="n"/>
      <c r="B56" s="22">
        <f>IF(A56="","",IF(A56="Mot-clé principal","◆ "&amp;C56,IF(A56="Collection","    ├─ "&amp;C56,"         · "&amp;C56)))</f>
        <v/>
      </c>
      <c r="C56" s="12" t="n"/>
      <c r="D56" s="13" t="n"/>
      <c r="E56" s="13">
        <f>IF(A56="","",IF(A56="Mot-clé principal",IF($C$3="UNIVERS",$J$4,$J$3),IF(A56="Collection",$J$3,IF($C$3="PRODUIT PUR",$J$3,""))))</f>
        <v/>
      </c>
      <c r="F56" s="12">
        <f>IF(OR(D56="",E56=""),"",IF(D56&gt;=E56,"PASS",IF(D56&gt;=E56*$K$4,"REVIEW","STOP")))</f>
        <v/>
      </c>
      <c r="G56" s="23" t="n"/>
      <c r="H56" s="24" t="n"/>
      <c r="I56" s="24" t="n"/>
      <c r="J56" s="24">
        <f>IF(OR(H56="",I56=""),"",I56/1.2-H56)</f>
        <v/>
      </c>
      <c r="K56" s="12" t="n"/>
    </row>
    <row r="57">
      <c r="A57" s="12" t="n"/>
      <c r="B57" s="22">
        <f>IF(A57="","",IF(A57="Mot-clé principal","◆ "&amp;C57,IF(A57="Collection","    ├─ "&amp;C57,"         · "&amp;C57)))</f>
        <v/>
      </c>
      <c r="C57" s="12" t="n"/>
      <c r="D57" s="13" t="n"/>
      <c r="E57" s="13">
        <f>IF(A57="","",IF(A57="Mot-clé principal",IF($C$3="UNIVERS",$J$4,$J$3),IF(A57="Collection",$J$3,IF($C$3="PRODUIT PUR",$J$3,""))))</f>
        <v/>
      </c>
      <c r="F57" s="12">
        <f>IF(OR(D57="",E57=""),"",IF(D57&gt;=E57,"PASS",IF(D57&gt;=E57*$K$4,"REVIEW","STOP")))</f>
        <v/>
      </c>
      <c r="G57" s="23" t="n"/>
      <c r="H57" s="24" t="n"/>
      <c r="I57" s="24" t="n"/>
      <c r="J57" s="24">
        <f>IF(OR(H57="",I57=""),"",I57/1.2-H57)</f>
        <v/>
      </c>
      <c r="K57" s="12" t="n"/>
    </row>
    <row r="58">
      <c r="A58" s="12" t="n"/>
      <c r="B58" s="22">
        <f>IF(A58="","",IF(A58="Mot-clé principal","◆ "&amp;C58,IF(A58="Collection","    ├─ "&amp;C58,"         · "&amp;C58)))</f>
        <v/>
      </c>
      <c r="C58" s="12" t="n"/>
      <c r="D58" s="13" t="n"/>
      <c r="E58" s="13">
        <f>IF(A58="","",IF(A58="Mot-clé principal",IF($C$3="UNIVERS",$J$4,$J$3),IF(A58="Collection",$J$3,IF($C$3="PRODUIT PUR",$J$3,""))))</f>
        <v/>
      </c>
      <c r="F58" s="12">
        <f>IF(OR(D58="",E58=""),"",IF(D58&gt;=E58,"PASS",IF(D58&gt;=E58*$K$4,"REVIEW","STOP")))</f>
        <v/>
      </c>
      <c r="G58" s="23" t="n"/>
      <c r="H58" s="24" t="n"/>
      <c r="I58" s="24" t="n"/>
      <c r="J58" s="24">
        <f>IF(OR(H58="",I58=""),"",I58/1.2-H58)</f>
        <v/>
      </c>
      <c r="K58" s="12" t="n"/>
    </row>
    <row r="59">
      <c r="A59" s="12" t="n"/>
      <c r="B59" s="22">
        <f>IF(A59="","",IF(A59="Mot-clé principal","◆ "&amp;C59,IF(A59="Collection","    ├─ "&amp;C59,"         · "&amp;C59)))</f>
        <v/>
      </c>
      <c r="C59" s="12" t="n"/>
      <c r="D59" s="13" t="n"/>
      <c r="E59" s="13">
        <f>IF(A59="","",IF(A59="Mot-clé principal",IF($C$3="UNIVERS",$J$4,$J$3),IF(A59="Collection",$J$3,IF($C$3="PRODUIT PUR",$J$3,""))))</f>
        <v/>
      </c>
      <c r="F59" s="12">
        <f>IF(OR(D59="",E59=""),"",IF(D59&gt;=E59,"PASS",IF(D59&gt;=E59*$K$4,"REVIEW","STOP")))</f>
        <v/>
      </c>
      <c r="G59" s="23" t="n"/>
      <c r="H59" s="24" t="n"/>
      <c r="I59" s="24" t="n"/>
      <c r="J59" s="24">
        <f>IF(OR(H59="",I59=""),"",I59/1.2-H59)</f>
        <v/>
      </c>
      <c r="K59" s="12" t="n"/>
    </row>
    <row r="60">
      <c r="A60" s="12" t="n"/>
      <c r="B60" s="22">
        <f>IF(A60="","",IF(A60="Mot-clé principal","◆ "&amp;C60,IF(A60="Collection","    ├─ "&amp;C60,"         · "&amp;C60)))</f>
        <v/>
      </c>
      <c r="C60" s="12" t="n"/>
      <c r="D60" s="13" t="n"/>
      <c r="E60" s="13">
        <f>IF(A60="","",IF(A60="Mot-clé principal",IF($C$3="UNIVERS",$J$4,$J$3),IF(A60="Collection",$J$3,IF($C$3="PRODUIT PUR",$J$3,""))))</f>
        <v/>
      </c>
      <c r="F60" s="12">
        <f>IF(OR(D60="",E60=""),"",IF(D60&gt;=E60,"PASS",IF(D60&gt;=E60*$K$4,"REVIEW","STOP")))</f>
        <v/>
      </c>
      <c r="G60" s="23" t="n"/>
      <c r="H60" s="24" t="n"/>
      <c r="I60" s="24" t="n"/>
      <c r="J60" s="24">
        <f>IF(OR(H60="",I60=""),"",I60/1.2-H60)</f>
        <v/>
      </c>
      <c r="K60" s="12" t="n"/>
    </row>
    <row r="61">
      <c r="A61" s="12" t="n"/>
      <c r="B61" s="22">
        <f>IF(A61="","",IF(A61="Mot-clé principal","◆ "&amp;C61,IF(A61="Collection","    ├─ "&amp;C61,"         · "&amp;C61)))</f>
        <v/>
      </c>
      <c r="C61" s="12" t="n"/>
      <c r="D61" s="13" t="n"/>
      <c r="E61" s="13">
        <f>IF(A61="","",IF(A61="Mot-clé principal",IF($C$3="UNIVERS",$J$4,$J$3),IF(A61="Collection",$J$3,IF($C$3="PRODUIT PUR",$J$3,""))))</f>
        <v/>
      </c>
      <c r="F61" s="12">
        <f>IF(OR(D61="",E61=""),"",IF(D61&gt;=E61,"PASS",IF(D61&gt;=E61*$K$4,"REVIEW","STOP")))</f>
        <v/>
      </c>
      <c r="G61" s="23" t="n"/>
      <c r="H61" s="24" t="n"/>
      <c r="I61" s="24" t="n"/>
      <c r="J61" s="24">
        <f>IF(OR(H61="",I61=""),"",I61/1.2-H61)</f>
        <v/>
      </c>
      <c r="K61" s="12" t="n"/>
    </row>
    <row r="62">
      <c r="A62" s="12" t="n"/>
      <c r="B62" s="22">
        <f>IF(A62="","",IF(A62="Mot-clé principal","◆ "&amp;C62,IF(A62="Collection","    ├─ "&amp;C62,"         · "&amp;C62)))</f>
        <v/>
      </c>
      <c r="C62" s="12" t="n"/>
      <c r="D62" s="13" t="n"/>
      <c r="E62" s="13">
        <f>IF(A62="","",IF(A62="Mot-clé principal",IF($C$3="UNIVERS",$J$4,$J$3),IF(A62="Collection",$J$3,IF($C$3="PRODUIT PUR",$J$3,""))))</f>
        <v/>
      </c>
      <c r="F62" s="12">
        <f>IF(OR(D62="",E62=""),"",IF(D62&gt;=E62,"PASS",IF(D62&gt;=E62*$K$4,"REVIEW","STOP")))</f>
        <v/>
      </c>
      <c r="G62" s="23" t="n"/>
      <c r="H62" s="24" t="n"/>
      <c r="I62" s="24" t="n"/>
      <c r="J62" s="24">
        <f>IF(OR(H62="",I62=""),"",I62/1.2-H62)</f>
        <v/>
      </c>
      <c r="K62" s="12" t="n"/>
    </row>
    <row r="63">
      <c r="A63" s="12" t="n"/>
      <c r="B63" s="22">
        <f>IF(A63="","",IF(A63="Mot-clé principal","◆ "&amp;C63,IF(A63="Collection","    ├─ "&amp;C63,"         · "&amp;C63)))</f>
        <v/>
      </c>
      <c r="C63" s="12" t="n"/>
      <c r="D63" s="13" t="n"/>
      <c r="E63" s="13">
        <f>IF(A63="","",IF(A63="Mot-clé principal",IF($C$3="UNIVERS",$J$4,$J$3),IF(A63="Collection",$J$3,IF($C$3="PRODUIT PUR",$J$3,""))))</f>
        <v/>
      </c>
      <c r="F63" s="12">
        <f>IF(OR(D63="",E63=""),"",IF(D63&gt;=E63,"PASS",IF(D63&gt;=E63*$K$4,"REVIEW","STOP")))</f>
        <v/>
      </c>
      <c r="G63" s="23" t="n"/>
      <c r="H63" s="24" t="n"/>
      <c r="I63" s="24" t="n"/>
      <c r="J63" s="24">
        <f>IF(OR(H63="",I63=""),"",I63/1.2-H63)</f>
        <v/>
      </c>
      <c r="K63" s="12" t="n"/>
    </row>
    <row r="64">
      <c r="A64" s="12" t="n"/>
      <c r="B64" s="22">
        <f>IF(A64="","",IF(A64="Mot-clé principal","◆ "&amp;C64,IF(A64="Collection","    ├─ "&amp;C64,"         · "&amp;C64)))</f>
        <v/>
      </c>
      <c r="C64" s="12" t="n"/>
      <c r="D64" s="13" t="n"/>
      <c r="E64" s="13">
        <f>IF(A64="","",IF(A64="Mot-clé principal",IF($C$3="UNIVERS",$J$4,$J$3),IF(A64="Collection",$J$3,IF($C$3="PRODUIT PUR",$J$3,""))))</f>
        <v/>
      </c>
      <c r="F64" s="12">
        <f>IF(OR(D64="",E64=""),"",IF(D64&gt;=E64,"PASS",IF(D64&gt;=E64*$K$4,"REVIEW","STOP")))</f>
        <v/>
      </c>
      <c r="G64" s="23" t="n"/>
      <c r="H64" s="24" t="n"/>
      <c r="I64" s="24" t="n"/>
      <c r="J64" s="24">
        <f>IF(OR(H64="",I64=""),"",I64/1.2-H64)</f>
        <v/>
      </c>
      <c r="K64" s="12" t="n"/>
    </row>
    <row r="65">
      <c r="A65" s="12" t="n"/>
      <c r="B65" s="22">
        <f>IF(A65="","",IF(A65="Mot-clé principal","◆ "&amp;C65,IF(A65="Collection","    ├─ "&amp;C65,"         · "&amp;C65)))</f>
        <v/>
      </c>
      <c r="C65" s="12" t="n"/>
      <c r="D65" s="13" t="n"/>
      <c r="E65" s="13">
        <f>IF(A65="","",IF(A65="Mot-clé principal",IF($C$3="UNIVERS",$J$4,$J$3),IF(A65="Collection",$J$3,IF($C$3="PRODUIT PUR",$J$3,""))))</f>
        <v/>
      </c>
      <c r="F65" s="12">
        <f>IF(OR(D65="",E65=""),"",IF(D65&gt;=E65,"PASS",IF(D65&gt;=E65*$K$4,"REVIEW","STOP")))</f>
        <v/>
      </c>
      <c r="G65" s="23" t="n"/>
      <c r="H65" s="24" t="n"/>
      <c r="I65" s="24" t="n"/>
      <c r="J65" s="24">
        <f>IF(OR(H65="",I65=""),"",I65/1.2-H65)</f>
        <v/>
      </c>
      <c r="K65" s="12" t="n"/>
    </row>
    <row r="66">
      <c r="A66" s="12" t="n"/>
      <c r="B66" s="22">
        <f>IF(A66="","",IF(A66="Mot-clé principal","◆ "&amp;C66,IF(A66="Collection","    ├─ "&amp;C66,"         · "&amp;C66)))</f>
        <v/>
      </c>
      <c r="C66" s="12" t="n"/>
      <c r="D66" s="13" t="n"/>
      <c r="E66" s="13">
        <f>IF(A66="","",IF(A66="Mot-clé principal",IF($C$3="UNIVERS",$J$4,$J$3),IF(A66="Collection",$J$3,IF($C$3="PRODUIT PUR",$J$3,""))))</f>
        <v/>
      </c>
      <c r="F66" s="12">
        <f>IF(OR(D66="",E66=""),"",IF(D66&gt;=E66,"PASS",IF(D66&gt;=E66*$K$4,"REVIEW","STOP")))</f>
        <v/>
      </c>
      <c r="G66" s="23" t="n"/>
      <c r="H66" s="24" t="n"/>
      <c r="I66" s="24" t="n"/>
      <c r="J66" s="24">
        <f>IF(OR(H66="",I66=""),"",I66/1.2-H66)</f>
        <v/>
      </c>
      <c r="K66" s="12" t="n"/>
    </row>
    <row r="67">
      <c r="A67" s="12" t="n"/>
      <c r="B67" s="22">
        <f>IF(A67="","",IF(A67="Mot-clé principal","◆ "&amp;C67,IF(A67="Collection","    ├─ "&amp;C67,"         · "&amp;C67)))</f>
        <v/>
      </c>
      <c r="C67" s="12" t="n"/>
      <c r="D67" s="13" t="n"/>
      <c r="E67" s="13">
        <f>IF(A67="","",IF(A67="Mot-clé principal",IF($C$3="UNIVERS",$J$4,$J$3),IF(A67="Collection",$J$3,IF($C$3="PRODUIT PUR",$J$3,""))))</f>
        <v/>
      </c>
      <c r="F67" s="12">
        <f>IF(OR(D67="",E67=""),"",IF(D67&gt;=E67,"PASS",IF(D67&gt;=E67*$K$4,"REVIEW","STOP")))</f>
        <v/>
      </c>
      <c r="G67" s="23" t="n"/>
      <c r="H67" s="24" t="n"/>
      <c r="I67" s="24" t="n"/>
      <c r="J67" s="24">
        <f>IF(OR(H67="",I67=""),"",I67/1.2-H67)</f>
        <v/>
      </c>
      <c r="K67" s="12" t="n"/>
    </row>
    <row r="68">
      <c r="A68" s="12" t="n"/>
      <c r="B68" s="22">
        <f>IF(A68="","",IF(A68="Mot-clé principal","◆ "&amp;C68,IF(A68="Collection","    ├─ "&amp;C68,"         · "&amp;C68)))</f>
        <v/>
      </c>
      <c r="C68" s="12" t="n"/>
      <c r="D68" s="13" t="n"/>
      <c r="E68" s="13">
        <f>IF(A68="","",IF(A68="Mot-clé principal",IF($C$3="UNIVERS",$J$4,$J$3),IF(A68="Collection",$J$3,IF($C$3="PRODUIT PUR",$J$3,""))))</f>
        <v/>
      </c>
      <c r="F68" s="12">
        <f>IF(OR(D68="",E68=""),"",IF(D68&gt;=E68,"PASS",IF(D68&gt;=E68*$K$4,"REVIEW","STOP")))</f>
        <v/>
      </c>
      <c r="G68" s="23" t="n"/>
      <c r="H68" s="24" t="n"/>
      <c r="I68" s="24" t="n"/>
      <c r="J68" s="24">
        <f>IF(OR(H68="",I68=""),"",I68/1.2-H68)</f>
        <v/>
      </c>
      <c r="K68" s="12" t="n"/>
    </row>
    <row r="69">
      <c r="A69" s="12" t="n"/>
      <c r="B69" s="22">
        <f>IF(A69="","",IF(A69="Mot-clé principal","◆ "&amp;C69,IF(A69="Collection","    ├─ "&amp;C69,"         · "&amp;C69)))</f>
        <v/>
      </c>
      <c r="C69" s="12" t="n"/>
      <c r="D69" s="13" t="n"/>
      <c r="E69" s="13">
        <f>IF(A69="","",IF(A69="Mot-clé principal",IF($C$3="UNIVERS",$J$4,$J$3),IF(A69="Collection",$J$3,IF($C$3="PRODUIT PUR",$J$3,""))))</f>
        <v/>
      </c>
      <c r="F69" s="12">
        <f>IF(OR(D69="",E69=""),"",IF(D69&gt;=E69,"PASS",IF(D69&gt;=E69*$K$4,"REVIEW","STOP")))</f>
        <v/>
      </c>
      <c r="G69" s="23" t="n"/>
      <c r="H69" s="24" t="n"/>
      <c r="I69" s="24" t="n"/>
      <c r="J69" s="24">
        <f>IF(OR(H69="",I69=""),"",I69/1.2-H69)</f>
        <v/>
      </c>
      <c r="K69" s="12" t="n"/>
    </row>
    <row r="70">
      <c r="A70" s="12" t="n"/>
      <c r="B70" s="22">
        <f>IF(A70="","",IF(A70="Mot-clé principal","◆ "&amp;C70,IF(A70="Collection","    ├─ "&amp;C70,"         · "&amp;C70)))</f>
        <v/>
      </c>
      <c r="C70" s="12" t="n"/>
      <c r="D70" s="13" t="n"/>
      <c r="E70" s="13">
        <f>IF(A70="","",IF(A70="Mot-clé principal",IF($C$3="UNIVERS",$J$4,$J$3),IF(A70="Collection",$J$3,IF($C$3="PRODUIT PUR",$J$3,""))))</f>
        <v/>
      </c>
      <c r="F70" s="12">
        <f>IF(OR(D70="",E70=""),"",IF(D70&gt;=E70,"PASS",IF(D70&gt;=E70*$K$4,"REVIEW","STOP")))</f>
        <v/>
      </c>
      <c r="G70" s="23" t="n"/>
      <c r="H70" s="24" t="n"/>
      <c r="I70" s="24" t="n"/>
      <c r="J70" s="24">
        <f>IF(OR(H70="",I70=""),"",I70/1.2-H70)</f>
        <v/>
      </c>
      <c r="K70" s="12" t="n"/>
    </row>
    <row r="71">
      <c r="A71" s="12" t="n"/>
      <c r="B71" s="22">
        <f>IF(A71="","",IF(A71="Mot-clé principal","◆ "&amp;C71,IF(A71="Collection","    ├─ "&amp;C71,"         · "&amp;C71)))</f>
        <v/>
      </c>
      <c r="C71" s="12" t="n"/>
      <c r="D71" s="13" t="n"/>
      <c r="E71" s="13">
        <f>IF(A71="","",IF(A71="Mot-clé principal",IF($C$3="UNIVERS",$J$4,$J$3),IF(A71="Collection",$J$3,IF($C$3="PRODUIT PUR",$J$3,""))))</f>
        <v/>
      </c>
      <c r="F71" s="12">
        <f>IF(OR(D71="",E71=""),"",IF(D71&gt;=E71,"PASS",IF(D71&gt;=E71*$K$4,"REVIEW","STOP")))</f>
        <v/>
      </c>
      <c r="G71" s="23" t="n"/>
      <c r="H71" s="24" t="n"/>
      <c r="I71" s="24" t="n"/>
      <c r="J71" s="24">
        <f>IF(OR(H71="",I71=""),"",I71/1.2-H71)</f>
        <v/>
      </c>
      <c r="K71" s="12" t="n"/>
    </row>
    <row r="72">
      <c r="A72" s="12" t="n"/>
      <c r="B72" s="22">
        <f>IF(A72="","",IF(A72="Mot-clé principal","◆ "&amp;C72,IF(A72="Collection","    ├─ "&amp;C72,"         · "&amp;C72)))</f>
        <v/>
      </c>
      <c r="C72" s="12" t="n"/>
      <c r="D72" s="13" t="n"/>
      <c r="E72" s="13">
        <f>IF(A72="","",IF(A72="Mot-clé principal",IF($C$3="UNIVERS",$J$4,$J$3),IF(A72="Collection",$J$3,IF($C$3="PRODUIT PUR",$J$3,""))))</f>
        <v/>
      </c>
      <c r="F72" s="12">
        <f>IF(OR(D72="",E72=""),"",IF(D72&gt;=E72,"PASS",IF(D72&gt;=E72*$K$4,"REVIEW","STOP")))</f>
        <v/>
      </c>
      <c r="G72" s="23" t="n"/>
      <c r="H72" s="24" t="n"/>
      <c r="I72" s="24" t="n"/>
      <c r="J72" s="24">
        <f>IF(OR(H72="",I72=""),"",I72/1.2-H72)</f>
        <v/>
      </c>
      <c r="K72" s="12" t="n"/>
    </row>
    <row r="73">
      <c r="A73" s="12" t="n"/>
      <c r="B73" s="22">
        <f>IF(A73="","",IF(A73="Mot-clé principal","◆ "&amp;C73,IF(A73="Collection","    ├─ "&amp;C73,"         · "&amp;C73)))</f>
        <v/>
      </c>
      <c r="C73" s="12" t="n"/>
      <c r="D73" s="13" t="n"/>
      <c r="E73" s="13">
        <f>IF(A73="","",IF(A73="Mot-clé principal",IF($C$3="UNIVERS",$J$4,$J$3),IF(A73="Collection",$J$3,IF($C$3="PRODUIT PUR",$J$3,""))))</f>
        <v/>
      </c>
      <c r="F73" s="12">
        <f>IF(OR(D73="",E73=""),"",IF(D73&gt;=E73,"PASS",IF(D73&gt;=E73*$K$4,"REVIEW","STOP")))</f>
        <v/>
      </c>
      <c r="G73" s="23" t="n"/>
      <c r="H73" s="24" t="n"/>
      <c r="I73" s="24" t="n"/>
      <c r="J73" s="24">
        <f>IF(OR(H73="",I73=""),"",I73/1.2-H73)</f>
        <v/>
      </c>
      <c r="K73" s="12" t="n"/>
    </row>
    <row r="74">
      <c r="A74" s="12" t="n"/>
      <c r="B74" s="22">
        <f>IF(A74="","",IF(A74="Mot-clé principal","◆ "&amp;C74,IF(A74="Collection","    ├─ "&amp;C74,"         · "&amp;C74)))</f>
        <v/>
      </c>
      <c r="C74" s="12" t="n"/>
      <c r="D74" s="13" t="n"/>
      <c r="E74" s="13">
        <f>IF(A74="","",IF(A74="Mot-clé principal",IF($C$3="UNIVERS",$J$4,$J$3),IF(A74="Collection",$J$3,IF($C$3="PRODUIT PUR",$J$3,""))))</f>
        <v/>
      </c>
      <c r="F74" s="12">
        <f>IF(OR(D74="",E74=""),"",IF(D74&gt;=E74,"PASS",IF(D74&gt;=E74*$K$4,"REVIEW","STOP")))</f>
        <v/>
      </c>
      <c r="G74" s="23" t="n"/>
      <c r="H74" s="24" t="n"/>
      <c r="I74" s="24" t="n"/>
      <c r="J74" s="24">
        <f>IF(OR(H74="",I74=""),"",I74/1.2-H74)</f>
        <v/>
      </c>
      <c r="K74" s="12" t="n"/>
    </row>
    <row r="75">
      <c r="A75" s="12" t="n"/>
      <c r="B75" s="22">
        <f>IF(A75="","",IF(A75="Mot-clé principal","◆ "&amp;C75,IF(A75="Collection","    ├─ "&amp;C75,"         · "&amp;C75)))</f>
        <v/>
      </c>
      <c r="C75" s="12" t="n"/>
      <c r="D75" s="13" t="n"/>
      <c r="E75" s="13">
        <f>IF(A75="","",IF(A75="Mot-clé principal",IF($C$3="UNIVERS",$J$4,$J$3),IF(A75="Collection",$J$3,IF($C$3="PRODUIT PUR",$J$3,""))))</f>
        <v/>
      </c>
      <c r="F75" s="12">
        <f>IF(OR(D75="",E75=""),"",IF(D75&gt;=E75,"PASS",IF(D75&gt;=E75*$K$4,"REVIEW","STOP")))</f>
        <v/>
      </c>
      <c r="G75" s="23" t="n"/>
      <c r="H75" s="24" t="n"/>
      <c r="I75" s="24" t="n"/>
      <c r="J75" s="24">
        <f>IF(OR(H75="",I75=""),"",I75/1.2-H75)</f>
        <v/>
      </c>
      <c r="K75" s="12" t="n"/>
    </row>
    <row r="76">
      <c r="A76" s="12" t="n"/>
      <c r="B76" s="22">
        <f>IF(A76="","",IF(A76="Mot-clé principal","◆ "&amp;C76,IF(A76="Collection","    ├─ "&amp;C76,"         · "&amp;C76)))</f>
        <v/>
      </c>
      <c r="C76" s="12" t="n"/>
      <c r="D76" s="13" t="n"/>
      <c r="E76" s="13">
        <f>IF(A76="","",IF(A76="Mot-clé principal",IF($C$3="UNIVERS",$J$4,$J$3),IF(A76="Collection",$J$3,IF($C$3="PRODUIT PUR",$J$3,""))))</f>
        <v/>
      </c>
      <c r="F76" s="12">
        <f>IF(OR(D76="",E76=""),"",IF(D76&gt;=E76,"PASS",IF(D76&gt;=E76*$K$4,"REVIEW","STOP")))</f>
        <v/>
      </c>
      <c r="G76" s="23" t="n"/>
      <c r="H76" s="24" t="n"/>
      <c r="I76" s="24" t="n"/>
      <c r="J76" s="24">
        <f>IF(OR(H76="",I76=""),"",I76/1.2-H76)</f>
        <v/>
      </c>
      <c r="K76" s="12" t="n"/>
    </row>
    <row r="77">
      <c r="A77" s="12" t="n"/>
      <c r="B77" s="22">
        <f>IF(A77="","",IF(A77="Mot-clé principal","◆ "&amp;C77,IF(A77="Collection","    ├─ "&amp;C77,"         · "&amp;C77)))</f>
        <v/>
      </c>
      <c r="C77" s="12" t="n"/>
      <c r="D77" s="13" t="n"/>
      <c r="E77" s="13">
        <f>IF(A77="","",IF(A77="Mot-clé principal",IF($C$3="UNIVERS",$J$4,$J$3),IF(A77="Collection",$J$3,IF($C$3="PRODUIT PUR",$J$3,""))))</f>
        <v/>
      </c>
      <c r="F77" s="12">
        <f>IF(OR(D77="",E77=""),"",IF(D77&gt;=E77,"PASS",IF(D77&gt;=E77*$K$4,"REVIEW","STOP")))</f>
        <v/>
      </c>
      <c r="G77" s="23" t="n"/>
      <c r="H77" s="24" t="n"/>
      <c r="I77" s="24" t="n"/>
      <c r="J77" s="24">
        <f>IF(OR(H77="",I77=""),"",I77/1.2-H77)</f>
        <v/>
      </c>
      <c r="K77" s="12" t="n"/>
    </row>
    <row r="78">
      <c r="A78" s="12" t="n"/>
      <c r="B78" s="22">
        <f>IF(A78="","",IF(A78="Mot-clé principal","◆ "&amp;C78,IF(A78="Collection","    ├─ "&amp;C78,"         · "&amp;C78)))</f>
        <v/>
      </c>
      <c r="C78" s="12" t="n"/>
      <c r="D78" s="13" t="n"/>
      <c r="E78" s="13">
        <f>IF(A78="","",IF(A78="Mot-clé principal",IF($C$3="UNIVERS",$J$4,$J$3),IF(A78="Collection",$J$3,IF($C$3="PRODUIT PUR",$J$3,""))))</f>
        <v/>
      </c>
      <c r="F78" s="12">
        <f>IF(OR(D78="",E78=""),"",IF(D78&gt;=E78,"PASS",IF(D78&gt;=E78*$K$4,"REVIEW","STOP")))</f>
        <v/>
      </c>
      <c r="G78" s="23" t="n"/>
      <c r="H78" s="24" t="n"/>
      <c r="I78" s="24" t="n"/>
      <c r="J78" s="24">
        <f>IF(OR(H78="",I78=""),"",I78/1.2-H78)</f>
        <v/>
      </c>
      <c r="K78" s="12" t="n"/>
    </row>
    <row r="79">
      <c r="A79" s="12" t="n"/>
      <c r="B79" s="22">
        <f>IF(A79="","",IF(A79="Mot-clé principal","◆ "&amp;C79,IF(A79="Collection","    ├─ "&amp;C79,"         · "&amp;C79)))</f>
        <v/>
      </c>
      <c r="C79" s="12" t="n"/>
      <c r="D79" s="13" t="n"/>
      <c r="E79" s="13">
        <f>IF(A79="","",IF(A79="Mot-clé principal",IF($C$3="UNIVERS",$J$4,$J$3),IF(A79="Collection",$J$3,IF($C$3="PRODUIT PUR",$J$3,""))))</f>
        <v/>
      </c>
      <c r="F79" s="12">
        <f>IF(OR(D79="",E79=""),"",IF(D79&gt;=E79,"PASS",IF(D79&gt;=E79*$K$4,"REVIEW","STOP")))</f>
        <v/>
      </c>
      <c r="G79" s="23" t="n"/>
      <c r="H79" s="24" t="n"/>
      <c r="I79" s="24" t="n"/>
      <c r="J79" s="24">
        <f>IF(OR(H79="",I79=""),"",I79/1.2-H79)</f>
        <v/>
      </c>
      <c r="K79" s="12" t="n"/>
    </row>
    <row r="80">
      <c r="A80" s="12" t="n"/>
      <c r="B80" s="22">
        <f>IF(A80="","",IF(A80="Mot-clé principal","◆ "&amp;C80,IF(A80="Collection","    ├─ "&amp;C80,"         · "&amp;C80)))</f>
        <v/>
      </c>
      <c r="C80" s="12" t="n"/>
      <c r="D80" s="13" t="n"/>
      <c r="E80" s="13">
        <f>IF(A80="","",IF(A80="Mot-clé principal",IF($C$3="UNIVERS",$J$4,$J$3),IF(A80="Collection",$J$3,IF($C$3="PRODUIT PUR",$J$3,""))))</f>
        <v/>
      </c>
      <c r="F80" s="12">
        <f>IF(OR(D80="",E80=""),"",IF(D80&gt;=E80,"PASS",IF(D80&gt;=E80*$K$4,"REVIEW","STOP")))</f>
        <v/>
      </c>
      <c r="G80" s="23" t="n"/>
      <c r="H80" s="24" t="n"/>
      <c r="I80" s="24" t="n"/>
      <c r="J80" s="24">
        <f>IF(OR(H80="",I80=""),"",I80/1.2-H80)</f>
        <v/>
      </c>
      <c r="K80" s="12" t="n"/>
    </row>
  </sheetData>
  <mergeCells count="2">
    <mergeCell ref="C5:K5"/>
    <mergeCell ref="B2:D2"/>
  </mergeCells>
  <conditionalFormatting sqref="A8:K80">
    <cfRule type="expression" priority="1" dxfId="3">
      <formula>$A8="Mot-clé principal"</formula>
    </cfRule>
    <cfRule type="expression" priority="2" dxfId="4">
      <formula>$A8="Collection"</formula>
    </cfRule>
  </conditionalFormatting>
  <conditionalFormatting sqref="F8:F80">
    <cfRule type="cellIs" priority="3" operator="equal" dxfId="0">
      <formula>"PASS"</formula>
    </cfRule>
    <cfRule type="cellIs" priority="4" operator="equal" dxfId="1">
      <formula>"REVIEW"</formula>
    </cfRule>
    <cfRule type="cellIs" priority="5" operator="equal" dxfId="2">
      <formula>"STOP"</formula>
    </cfRule>
  </conditionalFormatting>
  <conditionalFormatting sqref="J8:J80">
    <cfRule type="cellIs" priority="6" operator="lessThan" dxfId="5">
      <formula>0</formula>
    </cfRule>
  </conditionalFormatting>
  <dataValidations count="4">
    <dataValidation sqref="A8:A80" showDropDown="0" showInputMessage="0" showErrorMessage="0" allowBlank="1" type="list">
      <formula1>"Mot-clé principal,Collection,Produit"</formula1>
    </dataValidation>
    <dataValidation sqref="C3" showDropDown="0" showInputMessage="0" showErrorMessage="0" allowBlank="1" type="list">
      <formula1>"PRODUIT PUR,UNIVERS"</formula1>
    </dataValidation>
    <dataValidation sqref="C4" showDropDown="0" showInputMessage="0" showErrorMessage="0" allowBlank="1" type="list">
      <formula1>"FR,UK,DE,ES,IT,US"</formula1>
    </dataValidation>
    <dataValidation sqref="F3" showDropDown="0" showInputMessage="0" showErrorMessage="0" allowBlank="1" type="list">
      <formula1>"Idée,Mesure en cours,PASS,REVIEW,STOP,Sourcing,GO_FINAL,WATCH_FINAL,NO_GO_FINAL"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5E3A"/>
    <outlinePr summaryBelow="1" summaryRight="1"/>
    <pageSetUpPr/>
  </sheetPr>
  <dimension ref="A1:K8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2" customWidth="1" min="4" max="4"/>
    <col width="10" customWidth="1" min="5" max="5"/>
    <col width="10" customWidth="1" min="6" max="6"/>
    <col width="44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16" t="inlineStr">
        <is>
          <t>NICHE</t>
        </is>
      </c>
    </row>
    <row r="2">
      <c r="B2" s="10" t="inlineStr">
        <is>
          <t>Abri chat extérieur (UK)</t>
        </is>
      </c>
    </row>
    <row r="3">
      <c r="B3" s="17" t="inlineStr">
        <is>
          <t>Mode</t>
        </is>
      </c>
      <c r="C3" s="18" t="inlineStr">
        <is>
          <t>PRODUIT PUR</t>
        </is>
      </c>
      <c r="E3" s="17" t="inlineStr">
        <is>
          <t>Statut</t>
        </is>
      </c>
      <c r="F3" s="18" t="inlineStr">
        <is>
          <t>Sourcing</t>
        </is>
      </c>
      <c r="H3" s="16" t="inlineStr">
        <is>
          <t>Seuils</t>
        </is>
      </c>
      <c r="I3" s="19" t="inlineStr">
        <is>
          <t>PRODUIT PUR</t>
        </is>
      </c>
      <c r="J3" s="20" t="n">
        <v>12500</v>
      </c>
      <c r="K3" s="19" t="inlineStr">
        <is>
          <t>Bande REVIEW</t>
        </is>
      </c>
    </row>
    <row r="4">
      <c r="B4" s="17" t="inlineStr">
        <is>
          <t>Marché</t>
        </is>
      </c>
      <c r="C4" s="18" t="inlineStr">
        <is>
          <t>UK</t>
        </is>
      </c>
      <c r="E4" s="17" t="inlineStr">
        <is>
          <t>Date</t>
        </is>
      </c>
      <c r="F4" s="18" t="inlineStr">
        <is>
          <t>2026-09-08</t>
        </is>
      </c>
      <c r="I4" s="19" t="inlineStr">
        <is>
          <t>UNIVERS</t>
        </is>
      </c>
      <c r="J4" s="20" t="n">
        <v>37500</v>
      </c>
      <c r="K4" s="21" t="n">
        <v>0.8</v>
      </c>
    </row>
    <row r="5">
      <c r="B5" s="17" t="inlineStr">
        <is>
          <t>Notes</t>
        </is>
      </c>
      <c r="C5" s="12" t="inlineStr">
        <is>
          <t>Exemple rempli avec la recherche UK du 07/09 : volumes DataForSEO United Kingdom, une variante L grise qualifiée GB 6–10 j.</t>
        </is>
      </c>
    </row>
    <row r="7" ht="30" customHeight="1">
      <c r="A7" s="11" t="inlineStr">
        <is>
          <t>Niveau</t>
        </is>
      </c>
      <c r="B7" s="11" t="inlineStr">
        <is>
          <t>Arborescence</t>
        </is>
      </c>
      <c r="C7" s="11" t="inlineStr">
        <is>
          <t>Mot-clé</t>
        </is>
      </c>
      <c r="D7" s="11" t="inlineStr">
        <is>
          <t>Volume / mois</t>
        </is>
      </c>
      <c r="E7" s="11" t="inlineStr">
        <is>
          <t>Seuil</t>
        </is>
      </c>
      <c r="F7" s="11" t="inlineStr">
        <is>
          <t>Verdict</t>
        </is>
      </c>
      <c r="G7" s="11" t="inlineStr">
        <is>
          <t>Lien AliExpress</t>
        </is>
      </c>
      <c r="H7" s="11" t="inlineStr">
        <is>
          <t>Prix AliExpress</t>
        </is>
      </c>
      <c r="I7" s="11" t="inlineStr">
        <is>
          <t>Prix cible</t>
        </is>
      </c>
      <c r="J7" s="11" t="inlineStr">
        <is>
          <t>Marge brute</t>
        </is>
      </c>
      <c r="K7" s="11" t="inlineStr">
        <is>
          <t>Notes / source</t>
        </is>
      </c>
    </row>
    <row r="8">
      <c r="A8" s="12" t="inlineStr">
        <is>
          <t>Mot-clé principal</t>
        </is>
      </c>
      <c r="B8" s="22">
        <f>IF(A8="","",IF(A8="Mot-clé principal","◆ "&amp;C8,IF(A8="Collection","    ├─ "&amp;C8,"         · "&amp;C8)))</f>
        <v/>
      </c>
      <c r="C8" s="12" t="inlineStr">
        <is>
          <t>outdoor cat house</t>
        </is>
      </c>
      <c r="D8" s="13" t="n">
        <v>14800</v>
      </c>
      <c r="E8" s="13">
        <f>IF(A8="","",IF(A8="Mot-clé principal",IF($C$3="UNIVERS",$J$4,$J$3),IF(A8="Collection",$J$3,IF($C$3="PRODUIT PUR",$J$3,""))))</f>
        <v/>
      </c>
      <c r="F8" s="12">
        <f>IF(OR(D8="",E8=""),"",IF(D8&gt;=E8,"PASS",IF(D8&gt;=E8*$K$4,"REVIEW","STOP")))</f>
        <v/>
      </c>
      <c r="G8" s="23" t="n"/>
      <c r="H8" s="25" t="n"/>
      <c r="I8" s="25" t="n"/>
      <c r="J8" s="25">
        <f>IF(OR(H8="",I8=""),"",I8/1.2-H8)</f>
        <v/>
      </c>
      <c r="K8" s="12" t="inlineStr">
        <is>
          <t>MAX du groupe (outdoor cat house / shelter). Concurrents Search : Home &amp; Roost.</t>
        </is>
      </c>
    </row>
    <row r="9">
      <c r="A9" s="12" t="inlineStr">
        <is>
          <t>Collection</t>
        </is>
      </c>
      <c r="B9" s="22">
        <f>IF(A9="","",IF(A9="Mot-clé principal","◆ "&amp;C9,IF(A9="Collection","    ├─ "&amp;C9,"         · "&amp;C9)))</f>
        <v/>
      </c>
      <c r="C9" s="12" t="inlineStr">
        <is>
          <t>insulated cat house</t>
        </is>
      </c>
      <c r="D9" s="13" t="n">
        <v>6600</v>
      </c>
      <c r="E9" s="13">
        <f>IF(A9="","",IF(A9="Mot-clé principal",IF($C$3="UNIVERS",$J$4,$J$3),IF(A9="Collection",$J$3,IF($C$3="PRODUIT PUR",$J$3,""))))</f>
        <v/>
      </c>
      <c r="F9" s="12">
        <f>IF(OR(D9="",E9=""),"",IF(D9&gt;=E9,"PASS",IF(D9&gt;=E9*$K$4,"REVIEW","STOP")))</f>
        <v/>
      </c>
      <c r="G9" s="23" t="n"/>
      <c r="H9" s="25" t="n"/>
      <c r="I9" s="25" t="n"/>
      <c r="J9" s="25">
        <f>IF(OR(H9="",I9=""),"",I9/1.2-H9)</f>
        <v/>
      </c>
      <c r="K9" s="12" t="inlineStr">
        <is>
          <t>Famille isolée, non chauffée</t>
        </is>
      </c>
    </row>
    <row r="10">
      <c r="A10" s="12" t="inlineStr">
        <is>
          <t>Produit</t>
        </is>
      </c>
      <c r="B10" s="22">
        <f>IF(A10="","",IF(A10="Mot-clé principal","◆ "&amp;C10,IF(A10="Collection","    ├─ "&amp;C10,"         · "&amp;C10)))</f>
        <v/>
      </c>
      <c r="C10" s="12" t="inlineStr">
        <is>
          <t>insulated outdoor cat house, raised, grey L</t>
        </is>
      </c>
      <c r="D10" s="13" t="n"/>
      <c r="E10" s="13">
        <f>IF(A10="","",IF(A10="Mot-clé principal",IF($C$3="UNIVERS",$J$4,$J$3),IF(A10="Collection",$J$3,IF($C$3="PRODUIT PUR",$J$3,""))))</f>
        <v/>
      </c>
      <c r="F10" s="12">
        <f>IF(OR(D10="",E10=""),"",IF(D10&gt;=E10,"PASS",IF(D10&gt;=E10*$K$4,"REVIEW","STOP")))</f>
        <v/>
      </c>
      <c r="G10" s="23">
        <f>HYPERLINK("https://www.aliexpress.com/item/1005010759559289.html","www.aliexpress.com/item/1005010759559289.html")</f>
        <v/>
      </c>
      <c r="H10" s="25" t="n">
        <v>31</v>
      </c>
      <c r="I10" s="25" t="n">
        <v>89</v>
      </c>
      <c r="J10" s="25">
        <f>IF(OR(H10="",I10=""),"",I10/1.2-H10)</f>
        <v/>
      </c>
      <c r="K10" s="12" t="inlineStr">
        <is>
          <t>Stone's Store — seule variante qualifiée GB 6–10 j</t>
        </is>
      </c>
    </row>
    <row r="11">
      <c r="A11" s="12" t="inlineStr">
        <is>
          <t>Produit</t>
        </is>
      </c>
      <c r="B11" s="22">
        <f>IF(A11="","",IF(A11="Mot-clé principal","◆ "&amp;C11,IF(A11="Collection","    ├─ "&amp;C11,"         · "&amp;C11)))</f>
        <v/>
      </c>
      <c r="C11" s="12" t="inlineStr">
        <is>
          <t>outdoor cat shelter white, arch door</t>
        </is>
      </c>
      <c r="D11" s="13" t="n"/>
      <c r="E11" s="13">
        <f>IF(A11="","",IF(A11="Mot-clé principal",IF($C$3="UNIVERS",$J$4,$J$3),IF(A11="Collection",$J$3,IF($C$3="PRODUIT PUR",$J$3,""))))</f>
        <v/>
      </c>
      <c r="F11" s="12">
        <f>IF(OR(D11="",E11=""),"",IF(D11&gt;=E11,"PASS",IF(D11&gt;=E11*$K$4,"REVIEW","STOP")))</f>
        <v/>
      </c>
      <c r="G11" s="23">
        <f>HYPERLINK("https://www.aliexpress.com/item/1005009960200806.html","www.aliexpress.com/item/1005009960200806.html")</f>
        <v/>
      </c>
      <c r="H11" s="25" t="n">
        <v>29</v>
      </c>
      <c r="I11" s="25" t="n">
        <v>79</v>
      </c>
      <c r="J11" s="25">
        <f>IF(OR(H11="",I11=""),"",I11/1.2-H11)</f>
        <v/>
      </c>
      <c r="K11" s="12" t="inlineStr">
        <is>
          <t>Backup, même magasin, EU warehouses refusés GB</t>
        </is>
      </c>
    </row>
    <row r="12">
      <c r="A12" s="12" t="inlineStr">
        <is>
          <t>Collection</t>
        </is>
      </c>
      <c r="B12" s="22">
        <f>IF(A12="","",IF(A12="Mot-clé principal","◆ "&amp;C12,IF(A12="Collection","    ├─ "&amp;C12,"         · "&amp;C12)))</f>
        <v/>
      </c>
      <c r="C12" s="12" t="inlineStr">
        <is>
          <t>heated cat house outdoor</t>
        </is>
      </c>
      <c r="D12" s="13" t="n">
        <v>5400</v>
      </c>
      <c r="E12" s="13">
        <f>IF(A12="","",IF(A12="Mot-clé principal",IF($C$3="UNIVERS",$J$4,$J$3),IF(A12="Collection",$J$3,IF($C$3="PRODUIT PUR",$J$3,""))))</f>
        <v/>
      </c>
      <c r="F12" s="12">
        <f>IF(OR(D12="",E12=""),"",IF(D12&gt;=E12,"PASS",IF(D12&gt;=E12*$K$4,"REVIEW","STOP")))</f>
        <v/>
      </c>
      <c r="G12" s="23" t="n"/>
      <c r="H12" s="25" t="n"/>
      <c r="I12" s="25" t="n"/>
      <c r="J12" s="25">
        <f>IF(OR(H12="",I12=""),"",I12/1.2-H12)</f>
        <v/>
      </c>
      <c r="K12" s="12" t="inlineStr">
        <is>
          <t>Version chauffée : non sourcée (câble, conformité UK)</t>
        </is>
      </c>
    </row>
    <row r="13">
      <c r="A13" s="12" t="inlineStr">
        <is>
          <t>Produit</t>
        </is>
      </c>
      <c r="B13" s="22">
        <f>IF(A13="","",IF(A13="Mot-clé principal","◆ "&amp;C13,IF(A13="Collection","    ├─ "&amp;C13,"         · "&amp;C13)))</f>
        <v/>
      </c>
      <c r="C13" s="12" t="inlineStr">
        <is>
          <t>heated outdoor cat house 240V UK plug</t>
        </is>
      </c>
      <c r="D13" s="13" t="n"/>
      <c r="E13" s="13">
        <f>IF(A13="","",IF(A13="Mot-clé principal",IF($C$3="UNIVERS",$J$4,$J$3),IF(A13="Collection",$J$3,IF($C$3="PRODUIT PUR",$J$3,""))))</f>
        <v/>
      </c>
      <c r="F13" s="12">
        <f>IF(OR(D13="",E13=""),"",IF(D13&gt;=E13,"PASS",IF(D13&gt;=E13*$K$4,"REVIEW","STOP")))</f>
        <v/>
      </c>
      <c r="G13" s="23" t="n"/>
      <c r="H13" s="25" t="n"/>
      <c r="I13" s="25" t="n"/>
      <c r="J13" s="25">
        <f>IF(OR(H13="",I13=""),"",I13/1.2-H13)</f>
        <v/>
      </c>
      <c r="K13" s="12" t="inlineStr">
        <is>
          <t>À sourcer seulement si le non chauffé passe</t>
        </is>
      </c>
    </row>
    <row r="14">
      <c r="A14" s="12" t="inlineStr">
        <is>
          <t>Collection</t>
        </is>
      </c>
      <c r="B14" s="22">
        <f>IF(A14="","",IF(A14="Mot-clé principal","◆ "&amp;C14,IF(A14="Collection","    ├─ "&amp;C14,"         · "&amp;C14)))</f>
        <v/>
      </c>
      <c r="C14" s="12" t="inlineStr">
        <is>
          <t>cat house accessories</t>
        </is>
      </c>
      <c r="D14" s="13" t="n">
        <v>1300</v>
      </c>
      <c r="E14" s="13">
        <f>IF(A14="","",IF(A14="Mot-clé principal",IF($C$3="UNIVERS",$J$4,$J$3),IF(A14="Collection",$J$3,IF($C$3="PRODUIT PUR",$J$3,""))))</f>
        <v/>
      </c>
      <c r="F14" s="12">
        <f>IF(OR(D14="",E14=""),"",IF(D14&gt;=E14,"PASS",IF(D14&gt;=E14*$K$4,"REVIEW","STOP")))</f>
        <v/>
      </c>
      <c r="G14" s="23" t="n"/>
      <c r="H14" s="25" t="n"/>
      <c r="I14" s="25" t="n"/>
      <c r="J14" s="25">
        <f>IF(OR(H14="",I14=""),"",I14/1.2-H14)</f>
        <v/>
      </c>
      <c r="K14" s="12" t="inlineStr">
        <is>
          <t>Coussin, rabat de porte, tapis chauffant</t>
        </is>
      </c>
    </row>
    <row r="15">
      <c r="A15" s="12" t="inlineStr">
        <is>
          <t>Produit</t>
        </is>
      </c>
      <c r="B15" s="22">
        <f>IF(A15="","",IF(A15="Mot-clé principal","◆ "&amp;C15,IF(A15="Collection","    ├─ "&amp;C15,"         · "&amp;C15)))</f>
        <v/>
      </c>
      <c r="C15" s="12" t="inlineStr">
        <is>
          <t>self-warming cat pad</t>
        </is>
      </c>
      <c r="D15" s="13" t="n"/>
      <c r="E15" s="13">
        <f>IF(A15="","",IF(A15="Mot-clé principal",IF($C$3="UNIVERS",$J$4,$J$3),IF(A15="Collection",$J$3,IF($C$3="PRODUIT PUR",$J$3,""))))</f>
        <v/>
      </c>
      <c r="F15" s="12">
        <f>IF(OR(D15="",E15=""),"",IF(D15&gt;=E15,"PASS",IF(D15&gt;=E15*$K$4,"REVIEW","STOP")))</f>
        <v/>
      </c>
      <c r="G15" s="23" t="n"/>
      <c r="H15" s="25" t="n"/>
      <c r="I15" s="25" t="n"/>
      <c r="J15" s="25">
        <f>IF(OR(H15="",I15=""),"",I15/1.2-H15)</f>
        <v/>
      </c>
      <c r="K15" s="12" t="inlineStr">
        <is>
          <t>Complémentaire possible</t>
        </is>
      </c>
    </row>
    <row r="16">
      <c r="A16" s="12" t="n"/>
      <c r="B16" s="22">
        <f>IF(A16="","",IF(A16="Mot-clé principal","◆ "&amp;C16,IF(A16="Collection","    ├─ "&amp;C16,"         · "&amp;C16)))</f>
        <v/>
      </c>
      <c r="C16" s="12" t="n"/>
      <c r="D16" s="13" t="n"/>
      <c r="E16" s="13">
        <f>IF(A16="","",IF(A16="Mot-clé principal",IF($C$3="UNIVERS",$J$4,$J$3),IF(A16="Collection",$J$3,IF($C$3="PRODUIT PUR",$J$3,""))))</f>
        <v/>
      </c>
      <c r="F16" s="12">
        <f>IF(OR(D16="",E16=""),"",IF(D16&gt;=E16,"PASS",IF(D16&gt;=E16*$K$4,"REVIEW","STOP")))</f>
        <v/>
      </c>
      <c r="G16" s="23" t="n"/>
      <c r="H16" s="25" t="n"/>
      <c r="I16" s="25" t="n"/>
      <c r="J16" s="25">
        <f>IF(OR(H16="",I16=""),"",I16/1.2-H16)</f>
        <v/>
      </c>
      <c r="K16" s="12" t="n"/>
    </row>
    <row r="17">
      <c r="A17" s="12" t="n"/>
      <c r="B17" s="22">
        <f>IF(A17="","",IF(A17="Mot-clé principal","◆ "&amp;C17,IF(A17="Collection","    ├─ "&amp;C17,"         · "&amp;C17)))</f>
        <v/>
      </c>
      <c r="C17" s="12" t="n"/>
      <c r="D17" s="13" t="n"/>
      <c r="E17" s="13">
        <f>IF(A17="","",IF(A17="Mot-clé principal",IF($C$3="UNIVERS",$J$4,$J$3),IF(A17="Collection",$J$3,IF($C$3="PRODUIT PUR",$J$3,""))))</f>
        <v/>
      </c>
      <c r="F17" s="12">
        <f>IF(OR(D17="",E17=""),"",IF(D17&gt;=E17,"PASS",IF(D17&gt;=E17*$K$4,"REVIEW","STOP")))</f>
        <v/>
      </c>
      <c r="G17" s="23" t="n"/>
      <c r="H17" s="25" t="n"/>
      <c r="I17" s="25" t="n"/>
      <c r="J17" s="25">
        <f>IF(OR(H17="",I17=""),"",I17/1.2-H17)</f>
        <v/>
      </c>
      <c r="K17" s="12" t="n"/>
    </row>
    <row r="18">
      <c r="A18" s="12" t="n"/>
      <c r="B18" s="22">
        <f>IF(A18="","",IF(A18="Mot-clé principal","◆ "&amp;C18,IF(A18="Collection","    ├─ "&amp;C18,"         · "&amp;C18)))</f>
        <v/>
      </c>
      <c r="C18" s="12" t="n"/>
      <c r="D18" s="13" t="n"/>
      <c r="E18" s="13">
        <f>IF(A18="","",IF(A18="Mot-clé principal",IF($C$3="UNIVERS",$J$4,$J$3),IF(A18="Collection",$J$3,IF($C$3="PRODUIT PUR",$J$3,""))))</f>
        <v/>
      </c>
      <c r="F18" s="12">
        <f>IF(OR(D18="",E18=""),"",IF(D18&gt;=E18,"PASS",IF(D18&gt;=E18*$K$4,"REVIEW","STOP")))</f>
        <v/>
      </c>
      <c r="G18" s="23" t="n"/>
      <c r="H18" s="25" t="n"/>
      <c r="I18" s="25" t="n"/>
      <c r="J18" s="25">
        <f>IF(OR(H18="",I18=""),"",I18/1.2-H18)</f>
        <v/>
      </c>
      <c r="K18" s="12" t="n"/>
    </row>
    <row r="19">
      <c r="A19" s="12" t="n"/>
      <c r="B19" s="22">
        <f>IF(A19="","",IF(A19="Mot-clé principal","◆ "&amp;C19,IF(A19="Collection","    ├─ "&amp;C19,"         · "&amp;C19)))</f>
        <v/>
      </c>
      <c r="C19" s="12" t="n"/>
      <c r="D19" s="13" t="n"/>
      <c r="E19" s="13">
        <f>IF(A19="","",IF(A19="Mot-clé principal",IF($C$3="UNIVERS",$J$4,$J$3),IF(A19="Collection",$J$3,IF($C$3="PRODUIT PUR",$J$3,""))))</f>
        <v/>
      </c>
      <c r="F19" s="12">
        <f>IF(OR(D19="",E19=""),"",IF(D19&gt;=E19,"PASS",IF(D19&gt;=E19*$K$4,"REVIEW","STOP")))</f>
        <v/>
      </c>
      <c r="G19" s="23" t="n"/>
      <c r="H19" s="25" t="n"/>
      <c r="I19" s="25" t="n"/>
      <c r="J19" s="25">
        <f>IF(OR(H19="",I19=""),"",I19/1.2-H19)</f>
        <v/>
      </c>
      <c r="K19" s="12" t="n"/>
    </row>
    <row r="20">
      <c r="A20" s="12" t="n"/>
      <c r="B20" s="22">
        <f>IF(A20="","",IF(A20="Mot-clé principal","◆ "&amp;C20,IF(A20="Collection","    ├─ "&amp;C20,"         · "&amp;C20)))</f>
        <v/>
      </c>
      <c r="C20" s="12" t="n"/>
      <c r="D20" s="13" t="n"/>
      <c r="E20" s="13">
        <f>IF(A20="","",IF(A20="Mot-clé principal",IF($C$3="UNIVERS",$J$4,$J$3),IF(A20="Collection",$J$3,IF($C$3="PRODUIT PUR",$J$3,""))))</f>
        <v/>
      </c>
      <c r="F20" s="12">
        <f>IF(OR(D20="",E20=""),"",IF(D20&gt;=E20,"PASS",IF(D20&gt;=E20*$K$4,"REVIEW","STOP")))</f>
        <v/>
      </c>
      <c r="G20" s="23" t="n"/>
      <c r="H20" s="25" t="n"/>
      <c r="I20" s="25" t="n"/>
      <c r="J20" s="25">
        <f>IF(OR(H20="",I20=""),"",I20/1.2-H20)</f>
        <v/>
      </c>
      <c r="K20" s="12" t="n"/>
    </row>
    <row r="21">
      <c r="A21" s="12" t="n"/>
      <c r="B21" s="22">
        <f>IF(A21="","",IF(A21="Mot-clé principal","◆ "&amp;C21,IF(A21="Collection","    ├─ "&amp;C21,"         · "&amp;C21)))</f>
        <v/>
      </c>
      <c r="C21" s="12" t="n"/>
      <c r="D21" s="13" t="n"/>
      <c r="E21" s="13">
        <f>IF(A21="","",IF(A21="Mot-clé principal",IF($C$3="UNIVERS",$J$4,$J$3),IF(A21="Collection",$J$3,IF($C$3="PRODUIT PUR",$J$3,""))))</f>
        <v/>
      </c>
      <c r="F21" s="12">
        <f>IF(OR(D21="",E21=""),"",IF(D21&gt;=E21,"PASS",IF(D21&gt;=E21*$K$4,"REVIEW","STOP")))</f>
        <v/>
      </c>
      <c r="G21" s="23" t="n"/>
      <c r="H21" s="25" t="n"/>
      <c r="I21" s="25" t="n"/>
      <c r="J21" s="25">
        <f>IF(OR(H21="",I21=""),"",I21/1.2-H21)</f>
        <v/>
      </c>
      <c r="K21" s="12" t="n"/>
    </row>
    <row r="22">
      <c r="A22" s="12" t="n"/>
      <c r="B22" s="22">
        <f>IF(A22="","",IF(A22="Mot-clé principal","◆ "&amp;C22,IF(A22="Collection","    ├─ "&amp;C22,"         · "&amp;C22)))</f>
        <v/>
      </c>
      <c r="C22" s="12" t="n"/>
      <c r="D22" s="13" t="n"/>
      <c r="E22" s="13">
        <f>IF(A22="","",IF(A22="Mot-clé principal",IF($C$3="UNIVERS",$J$4,$J$3),IF(A22="Collection",$J$3,IF($C$3="PRODUIT PUR",$J$3,""))))</f>
        <v/>
      </c>
      <c r="F22" s="12">
        <f>IF(OR(D22="",E22=""),"",IF(D22&gt;=E22,"PASS",IF(D22&gt;=E22*$K$4,"REVIEW","STOP")))</f>
        <v/>
      </c>
      <c r="G22" s="23" t="n"/>
      <c r="H22" s="25" t="n"/>
      <c r="I22" s="25" t="n"/>
      <c r="J22" s="25">
        <f>IF(OR(H22="",I22=""),"",I22/1.2-H22)</f>
        <v/>
      </c>
      <c r="K22" s="12" t="n"/>
    </row>
    <row r="23">
      <c r="A23" s="12" t="n"/>
      <c r="B23" s="22">
        <f>IF(A23="","",IF(A23="Mot-clé principal","◆ "&amp;C23,IF(A23="Collection","    ├─ "&amp;C23,"         · "&amp;C23)))</f>
        <v/>
      </c>
      <c r="C23" s="12" t="n"/>
      <c r="D23" s="13" t="n"/>
      <c r="E23" s="13">
        <f>IF(A23="","",IF(A23="Mot-clé principal",IF($C$3="UNIVERS",$J$4,$J$3),IF(A23="Collection",$J$3,IF($C$3="PRODUIT PUR",$J$3,""))))</f>
        <v/>
      </c>
      <c r="F23" s="12">
        <f>IF(OR(D23="",E23=""),"",IF(D23&gt;=E23,"PASS",IF(D23&gt;=E23*$K$4,"REVIEW","STOP")))</f>
        <v/>
      </c>
      <c r="G23" s="23" t="n"/>
      <c r="H23" s="25" t="n"/>
      <c r="I23" s="25" t="n"/>
      <c r="J23" s="25">
        <f>IF(OR(H23="",I23=""),"",I23/1.2-H23)</f>
        <v/>
      </c>
      <c r="K23" s="12" t="n"/>
    </row>
    <row r="24">
      <c r="A24" s="12" t="n"/>
      <c r="B24" s="22">
        <f>IF(A24="","",IF(A24="Mot-clé principal","◆ "&amp;C24,IF(A24="Collection","    ├─ "&amp;C24,"         · "&amp;C24)))</f>
        <v/>
      </c>
      <c r="C24" s="12" t="n"/>
      <c r="D24" s="13" t="n"/>
      <c r="E24" s="13">
        <f>IF(A24="","",IF(A24="Mot-clé principal",IF($C$3="UNIVERS",$J$4,$J$3),IF(A24="Collection",$J$3,IF($C$3="PRODUIT PUR",$J$3,""))))</f>
        <v/>
      </c>
      <c r="F24" s="12">
        <f>IF(OR(D24="",E24=""),"",IF(D24&gt;=E24,"PASS",IF(D24&gt;=E24*$K$4,"REVIEW","STOP")))</f>
        <v/>
      </c>
      <c r="G24" s="23" t="n"/>
      <c r="H24" s="25" t="n"/>
      <c r="I24" s="25" t="n"/>
      <c r="J24" s="25">
        <f>IF(OR(H24="",I24=""),"",I24/1.2-H24)</f>
        <v/>
      </c>
      <c r="K24" s="12" t="n"/>
    </row>
    <row r="25">
      <c r="A25" s="12" t="n"/>
      <c r="B25" s="22">
        <f>IF(A25="","",IF(A25="Mot-clé principal","◆ "&amp;C25,IF(A25="Collection","    ├─ "&amp;C25,"         · "&amp;C25)))</f>
        <v/>
      </c>
      <c r="C25" s="12" t="n"/>
      <c r="D25" s="13" t="n"/>
      <c r="E25" s="13">
        <f>IF(A25="","",IF(A25="Mot-clé principal",IF($C$3="UNIVERS",$J$4,$J$3),IF(A25="Collection",$J$3,IF($C$3="PRODUIT PUR",$J$3,""))))</f>
        <v/>
      </c>
      <c r="F25" s="12">
        <f>IF(OR(D25="",E25=""),"",IF(D25&gt;=E25,"PASS",IF(D25&gt;=E25*$K$4,"REVIEW","STOP")))</f>
        <v/>
      </c>
      <c r="G25" s="23" t="n"/>
      <c r="H25" s="25" t="n"/>
      <c r="I25" s="25" t="n"/>
      <c r="J25" s="25">
        <f>IF(OR(H25="",I25=""),"",I25/1.2-H25)</f>
        <v/>
      </c>
      <c r="K25" s="12" t="n"/>
    </row>
    <row r="26">
      <c r="A26" s="12" t="n"/>
      <c r="B26" s="22">
        <f>IF(A26="","",IF(A26="Mot-clé principal","◆ "&amp;C26,IF(A26="Collection","    ├─ "&amp;C26,"         · "&amp;C26)))</f>
        <v/>
      </c>
      <c r="C26" s="12" t="n"/>
      <c r="D26" s="13" t="n"/>
      <c r="E26" s="13">
        <f>IF(A26="","",IF(A26="Mot-clé principal",IF($C$3="UNIVERS",$J$4,$J$3),IF(A26="Collection",$J$3,IF($C$3="PRODUIT PUR",$J$3,""))))</f>
        <v/>
      </c>
      <c r="F26" s="12">
        <f>IF(OR(D26="",E26=""),"",IF(D26&gt;=E26,"PASS",IF(D26&gt;=E26*$K$4,"REVIEW","STOP")))</f>
        <v/>
      </c>
      <c r="G26" s="23" t="n"/>
      <c r="H26" s="25" t="n"/>
      <c r="I26" s="25" t="n"/>
      <c r="J26" s="25">
        <f>IF(OR(H26="",I26=""),"",I26/1.2-H26)</f>
        <v/>
      </c>
      <c r="K26" s="12" t="n"/>
    </row>
    <row r="27">
      <c r="A27" s="12" t="n"/>
      <c r="B27" s="22">
        <f>IF(A27="","",IF(A27="Mot-clé principal","◆ "&amp;C27,IF(A27="Collection","    ├─ "&amp;C27,"         · "&amp;C27)))</f>
        <v/>
      </c>
      <c r="C27" s="12" t="n"/>
      <c r="D27" s="13" t="n"/>
      <c r="E27" s="13">
        <f>IF(A27="","",IF(A27="Mot-clé principal",IF($C$3="UNIVERS",$J$4,$J$3),IF(A27="Collection",$J$3,IF($C$3="PRODUIT PUR",$J$3,""))))</f>
        <v/>
      </c>
      <c r="F27" s="12">
        <f>IF(OR(D27="",E27=""),"",IF(D27&gt;=E27,"PASS",IF(D27&gt;=E27*$K$4,"REVIEW","STOP")))</f>
        <v/>
      </c>
      <c r="G27" s="23" t="n"/>
      <c r="H27" s="25" t="n"/>
      <c r="I27" s="25" t="n"/>
      <c r="J27" s="25">
        <f>IF(OR(H27="",I27=""),"",I27/1.2-H27)</f>
        <v/>
      </c>
      <c r="K27" s="12" t="n"/>
    </row>
    <row r="28">
      <c r="A28" s="12" t="n"/>
      <c r="B28" s="22">
        <f>IF(A28="","",IF(A28="Mot-clé principal","◆ "&amp;C28,IF(A28="Collection","    ├─ "&amp;C28,"         · "&amp;C28)))</f>
        <v/>
      </c>
      <c r="C28" s="12" t="n"/>
      <c r="D28" s="13" t="n"/>
      <c r="E28" s="13">
        <f>IF(A28="","",IF(A28="Mot-clé principal",IF($C$3="UNIVERS",$J$4,$J$3),IF(A28="Collection",$J$3,IF($C$3="PRODUIT PUR",$J$3,""))))</f>
        <v/>
      </c>
      <c r="F28" s="12">
        <f>IF(OR(D28="",E28=""),"",IF(D28&gt;=E28,"PASS",IF(D28&gt;=E28*$K$4,"REVIEW","STOP")))</f>
        <v/>
      </c>
      <c r="G28" s="23" t="n"/>
      <c r="H28" s="25" t="n"/>
      <c r="I28" s="25" t="n"/>
      <c r="J28" s="25">
        <f>IF(OR(H28="",I28=""),"",I28/1.2-H28)</f>
        <v/>
      </c>
      <c r="K28" s="12" t="n"/>
    </row>
    <row r="29">
      <c r="A29" s="12" t="n"/>
      <c r="B29" s="22">
        <f>IF(A29="","",IF(A29="Mot-clé principal","◆ "&amp;C29,IF(A29="Collection","    ├─ "&amp;C29,"         · "&amp;C29)))</f>
        <v/>
      </c>
      <c r="C29" s="12" t="n"/>
      <c r="D29" s="13" t="n"/>
      <c r="E29" s="13">
        <f>IF(A29="","",IF(A29="Mot-clé principal",IF($C$3="UNIVERS",$J$4,$J$3),IF(A29="Collection",$J$3,IF($C$3="PRODUIT PUR",$J$3,""))))</f>
        <v/>
      </c>
      <c r="F29" s="12">
        <f>IF(OR(D29="",E29=""),"",IF(D29&gt;=E29,"PASS",IF(D29&gt;=E29*$K$4,"REVIEW","STOP")))</f>
        <v/>
      </c>
      <c r="G29" s="23" t="n"/>
      <c r="H29" s="25" t="n"/>
      <c r="I29" s="25" t="n"/>
      <c r="J29" s="25">
        <f>IF(OR(H29="",I29=""),"",I29/1.2-H29)</f>
        <v/>
      </c>
      <c r="K29" s="12" t="n"/>
    </row>
    <row r="30">
      <c r="A30" s="12" t="n"/>
      <c r="B30" s="22">
        <f>IF(A30="","",IF(A30="Mot-clé principal","◆ "&amp;C30,IF(A30="Collection","    ├─ "&amp;C30,"         · "&amp;C30)))</f>
        <v/>
      </c>
      <c r="C30" s="12" t="n"/>
      <c r="D30" s="13" t="n"/>
      <c r="E30" s="13">
        <f>IF(A30="","",IF(A30="Mot-clé principal",IF($C$3="UNIVERS",$J$4,$J$3),IF(A30="Collection",$J$3,IF($C$3="PRODUIT PUR",$J$3,""))))</f>
        <v/>
      </c>
      <c r="F30" s="12">
        <f>IF(OR(D30="",E30=""),"",IF(D30&gt;=E30,"PASS",IF(D30&gt;=E30*$K$4,"REVIEW","STOP")))</f>
        <v/>
      </c>
      <c r="G30" s="23" t="n"/>
      <c r="H30" s="25" t="n"/>
      <c r="I30" s="25" t="n"/>
      <c r="J30" s="25">
        <f>IF(OR(H30="",I30=""),"",I30/1.2-H30)</f>
        <v/>
      </c>
      <c r="K30" s="12" t="n"/>
    </row>
    <row r="31">
      <c r="A31" s="12" t="n"/>
      <c r="B31" s="22">
        <f>IF(A31="","",IF(A31="Mot-clé principal","◆ "&amp;C31,IF(A31="Collection","    ├─ "&amp;C31,"         · "&amp;C31)))</f>
        <v/>
      </c>
      <c r="C31" s="12" t="n"/>
      <c r="D31" s="13" t="n"/>
      <c r="E31" s="13">
        <f>IF(A31="","",IF(A31="Mot-clé principal",IF($C$3="UNIVERS",$J$4,$J$3),IF(A31="Collection",$J$3,IF($C$3="PRODUIT PUR",$J$3,""))))</f>
        <v/>
      </c>
      <c r="F31" s="12">
        <f>IF(OR(D31="",E31=""),"",IF(D31&gt;=E31,"PASS",IF(D31&gt;=E31*$K$4,"REVIEW","STOP")))</f>
        <v/>
      </c>
      <c r="G31" s="23" t="n"/>
      <c r="H31" s="25" t="n"/>
      <c r="I31" s="25" t="n"/>
      <c r="J31" s="25">
        <f>IF(OR(H31="",I31=""),"",I31/1.2-H31)</f>
        <v/>
      </c>
      <c r="K31" s="12" t="n"/>
    </row>
    <row r="32">
      <c r="A32" s="12" t="n"/>
      <c r="B32" s="22">
        <f>IF(A32="","",IF(A32="Mot-clé principal","◆ "&amp;C32,IF(A32="Collection","    ├─ "&amp;C32,"         · "&amp;C32)))</f>
        <v/>
      </c>
      <c r="C32" s="12" t="n"/>
      <c r="D32" s="13" t="n"/>
      <c r="E32" s="13">
        <f>IF(A32="","",IF(A32="Mot-clé principal",IF($C$3="UNIVERS",$J$4,$J$3),IF(A32="Collection",$J$3,IF($C$3="PRODUIT PUR",$J$3,""))))</f>
        <v/>
      </c>
      <c r="F32" s="12">
        <f>IF(OR(D32="",E32=""),"",IF(D32&gt;=E32,"PASS",IF(D32&gt;=E32*$K$4,"REVIEW","STOP")))</f>
        <v/>
      </c>
      <c r="G32" s="23" t="n"/>
      <c r="H32" s="25" t="n"/>
      <c r="I32" s="25" t="n"/>
      <c r="J32" s="25">
        <f>IF(OR(H32="",I32=""),"",I32/1.2-H32)</f>
        <v/>
      </c>
      <c r="K32" s="12" t="n"/>
    </row>
    <row r="33">
      <c r="A33" s="12" t="n"/>
      <c r="B33" s="22">
        <f>IF(A33="","",IF(A33="Mot-clé principal","◆ "&amp;C33,IF(A33="Collection","    ├─ "&amp;C33,"         · "&amp;C33)))</f>
        <v/>
      </c>
      <c r="C33" s="12" t="n"/>
      <c r="D33" s="13" t="n"/>
      <c r="E33" s="13">
        <f>IF(A33="","",IF(A33="Mot-clé principal",IF($C$3="UNIVERS",$J$4,$J$3),IF(A33="Collection",$J$3,IF($C$3="PRODUIT PUR",$J$3,""))))</f>
        <v/>
      </c>
      <c r="F33" s="12">
        <f>IF(OR(D33="",E33=""),"",IF(D33&gt;=E33,"PASS",IF(D33&gt;=E33*$K$4,"REVIEW","STOP")))</f>
        <v/>
      </c>
      <c r="G33" s="23" t="n"/>
      <c r="H33" s="25" t="n"/>
      <c r="I33" s="25" t="n"/>
      <c r="J33" s="25">
        <f>IF(OR(H33="",I33=""),"",I33/1.2-H33)</f>
        <v/>
      </c>
      <c r="K33" s="12" t="n"/>
    </row>
    <row r="34">
      <c r="A34" s="12" t="n"/>
      <c r="B34" s="22">
        <f>IF(A34="","",IF(A34="Mot-clé principal","◆ "&amp;C34,IF(A34="Collection","    ├─ "&amp;C34,"         · "&amp;C34)))</f>
        <v/>
      </c>
      <c r="C34" s="12" t="n"/>
      <c r="D34" s="13" t="n"/>
      <c r="E34" s="13">
        <f>IF(A34="","",IF(A34="Mot-clé principal",IF($C$3="UNIVERS",$J$4,$J$3),IF(A34="Collection",$J$3,IF($C$3="PRODUIT PUR",$J$3,""))))</f>
        <v/>
      </c>
      <c r="F34" s="12">
        <f>IF(OR(D34="",E34=""),"",IF(D34&gt;=E34,"PASS",IF(D34&gt;=E34*$K$4,"REVIEW","STOP")))</f>
        <v/>
      </c>
      <c r="G34" s="23" t="n"/>
      <c r="H34" s="25" t="n"/>
      <c r="I34" s="25" t="n"/>
      <c r="J34" s="25">
        <f>IF(OR(H34="",I34=""),"",I34/1.2-H34)</f>
        <v/>
      </c>
      <c r="K34" s="12" t="n"/>
    </row>
    <row r="35">
      <c r="A35" s="12" t="n"/>
      <c r="B35" s="22">
        <f>IF(A35="","",IF(A35="Mot-clé principal","◆ "&amp;C35,IF(A35="Collection","    ├─ "&amp;C35,"         · "&amp;C35)))</f>
        <v/>
      </c>
      <c r="C35" s="12" t="n"/>
      <c r="D35" s="13" t="n"/>
      <c r="E35" s="13">
        <f>IF(A35="","",IF(A35="Mot-clé principal",IF($C$3="UNIVERS",$J$4,$J$3),IF(A35="Collection",$J$3,IF($C$3="PRODUIT PUR",$J$3,""))))</f>
        <v/>
      </c>
      <c r="F35" s="12">
        <f>IF(OR(D35="",E35=""),"",IF(D35&gt;=E35,"PASS",IF(D35&gt;=E35*$K$4,"REVIEW","STOP")))</f>
        <v/>
      </c>
      <c r="G35" s="23" t="n"/>
      <c r="H35" s="25" t="n"/>
      <c r="I35" s="25" t="n"/>
      <c r="J35" s="25">
        <f>IF(OR(H35="",I35=""),"",I35/1.2-H35)</f>
        <v/>
      </c>
      <c r="K35" s="12" t="n"/>
    </row>
    <row r="36">
      <c r="A36" s="12" t="n"/>
      <c r="B36" s="22">
        <f>IF(A36="","",IF(A36="Mot-clé principal","◆ "&amp;C36,IF(A36="Collection","    ├─ "&amp;C36,"         · "&amp;C36)))</f>
        <v/>
      </c>
      <c r="C36" s="12" t="n"/>
      <c r="D36" s="13" t="n"/>
      <c r="E36" s="13">
        <f>IF(A36="","",IF(A36="Mot-clé principal",IF($C$3="UNIVERS",$J$4,$J$3),IF(A36="Collection",$J$3,IF($C$3="PRODUIT PUR",$J$3,""))))</f>
        <v/>
      </c>
      <c r="F36" s="12">
        <f>IF(OR(D36="",E36=""),"",IF(D36&gt;=E36,"PASS",IF(D36&gt;=E36*$K$4,"REVIEW","STOP")))</f>
        <v/>
      </c>
      <c r="G36" s="23" t="n"/>
      <c r="H36" s="25" t="n"/>
      <c r="I36" s="25" t="n"/>
      <c r="J36" s="25">
        <f>IF(OR(H36="",I36=""),"",I36/1.2-H36)</f>
        <v/>
      </c>
      <c r="K36" s="12" t="n"/>
    </row>
    <row r="37">
      <c r="A37" s="12" t="n"/>
      <c r="B37" s="22">
        <f>IF(A37="","",IF(A37="Mot-clé principal","◆ "&amp;C37,IF(A37="Collection","    ├─ "&amp;C37,"         · "&amp;C37)))</f>
        <v/>
      </c>
      <c r="C37" s="12" t="n"/>
      <c r="D37" s="13" t="n"/>
      <c r="E37" s="13">
        <f>IF(A37="","",IF(A37="Mot-clé principal",IF($C$3="UNIVERS",$J$4,$J$3),IF(A37="Collection",$J$3,IF($C$3="PRODUIT PUR",$J$3,""))))</f>
        <v/>
      </c>
      <c r="F37" s="12">
        <f>IF(OR(D37="",E37=""),"",IF(D37&gt;=E37,"PASS",IF(D37&gt;=E37*$K$4,"REVIEW","STOP")))</f>
        <v/>
      </c>
      <c r="G37" s="23" t="n"/>
      <c r="H37" s="25" t="n"/>
      <c r="I37" s="25" t="n"/>
      <c r="J37" s="25">
        <f>IF(OR(H37="",I37=""),"",I37/1.2-H37)</f>
        <v/>
      </c>
      <c r="K37" s="12" t="n"/>
    </row>
    <row r="38">
      <c r="A38" s="12" t="n"/>
      <c r="B38" s="22">
        <f>IF(A38="","",IF(A38="Mot-clé principal","◆ "&amp;C38,IF(A38="Collection","    ├─ "&amp;C38,"         · "&amp;C38)))</f>
        <v/>
      </c>
      <c r="C38" s="12" t="n"/>
      <c r="D38" s="13" t="n"/>
      <c r="E38" s="13">
        <f>IF(A38="","",IF(A38="Mot-clé principal",IF($C$3="UNIVERS",$J$4,$J$3),IF(A38="Collection",$J$3,IF($C$3="PRODUIT PUR",$J$3,""))))</f>
        <v/>
      </c>
      <c r="F38" s="12">
        <f>IF(OR(D38="",E38=""),"",IF(D38&gt;=E38,"PASS",IF(D38&gt;=E38*$K$4,"REVIEW","STOP")))</f>
        <v/>
      </c>
      <c r="G38" s="23" t="n"/>
      <c r="H38" s="25" t="n"/>
      <c r="I38" s="25" t="n"/>
      <c r="J38" s="25">
        <f>IF(OR(H38="",I38=""),"",I38/1.2-H38)</f>
        <v/>
      </c>
      <c r="K38" s="12" t="n"/>
    </row>
    <row r="39">
      <c r="A39" s="12" t="n"/>
      <c r="B39" s="22">
        <f>IF(A39="","",IF(A39="Mot-clé principal","◆ "&amp;C39,IF(A39="Collection","    ├─ "&amp;C39,"         · "&amp;C39)))</f>
        <v/>
      </c>
      <c r="C39" s="12" t="n"/>
      <c r="D39" s="13" t="n"/>
      <c r="E39" s="13">
        <f>IF(A39="","",IF(A39="Mot-clé principal",IF($C$3="UNIVERS",$J$4,$J$3),IF(A39="Collection",$J$3,IF($C$3="PRODUIT PUR",$J$3,""))))</f>
        <v/>
      </c>
      <c r="F39" s="12">
        <f>IF(OR(D39="",E39=""),"",IF(D39&gt;=E39,"PASS",IF(D39&gt;=E39*$K$4,"REVIEW","STOP")))</f>
        <v/>
      </c>
      <c r="G39" s="23" t="n"/>
      <c r="H39" s="25" t="n"/>
      <c r="I39" s="25" t="n"/>
      <c r="J39" s="25">
        <f>IF(OR(H39="",I39=""),"",I39/1.2-H39)</f>
        <v/>
      </c>
      <c r="K39" s="12" t="n"/>
    </row>
    <row r="40">
      <c r="A40" s="12" t="n"/>
      <c r="B40" s="22">
        <f>IF(A40="","",IF(A40="Mot-clé principal","◆ "&amp;C40,IF(A40="Collection","    ├─ "&amp;C40,"         · "&amp;C40)))</f>
        <v/>
      </c>
      <c r="C40" s="12" t="n"/>
      <c r="D40" s="13" t="n"/>
      <c r="E40" s="13">
        <f>IF(A40="","",IF(A40="Mot-clé principal",IF($C$3="UNIVERS",$J$4,$J$3),IF(A40="Collection",$J$3,IF($C$3="PRODUIT PUR",$J$3,""))))</f>
        <v/>
      </c>
      <c r="F40" s="12">
        <f>IF(OR(D40="",E40=""),"",IF(D40&gt;=E40,"PASS",IF(D40&gt;=E40*$K$4,"REVIEW","STOP")))</f>
        <v/>
      </c>
      <c r="G40" s="23" t="n"/>
      <c r="H40" s="25" t="n"/>
      <c r="I40" s="25" t="n"/>
      <c r="J40" s="25">
        <f>IF(OR(H40="",I40=""),"",I40/1.2-H40)</f>
        <v/>
      </c>
      <c r="K40" s="12" t="n"/>
    </row>
    <row r="41">
      <c r="A41" s="12" t="n"/>
      <c r="B41" s="22">
        <f>IF(A41="","",IF(A41="Mot-clé principal","◆ "&amp;C41,IF(A41="Collection","    ├─ "&amp;C41,"         · "&amp;C41)))</f>
        <v/>
      </c>
      <c r="C41" s="12" t="n"/>
      <c r="D41" s="13" t="n"/>
      <c r="E41" s="13">
        <f>IF(A41="","",IF(A41="Mot-clé principal",IF($C$3="UNIVERS",$J$4,$J$3),IF(A41="Collection",$J$3,IF($C$3="PRODUIT PUR",$J$3,""))))</f>
        <v/>
      </c>
      <c r="F41" s="12">
        <f>IF(OR(D41="",E41=""),"",IF(D41&gt;=E41,"PASS",IF(D41&gt;=E41*$K$4,"REVIEW","STOP")))</f>
        <v/>
      </c>
      <c r="G41" s="23" t="n"/>
      <c r="H41" s="25" t="n"/>
      <c r="I41" s="25" t="n"/>
      <c r="J41" s="25">
        <f>IF(OR(H41="",I41=""),"",I41/1.2-H41)</f>
        <v/>
      </c>
      <c r="K41" s="12" t="n"/>
    </row>
    <row r="42">
      <c r="A42" s="12" t="n"/>
      <c r="B42" s="22">
        <f>IF(A42="","",IF(A42="Mot-clé principal","◆ "&amp;C42,IF(A42="Collection","    ├─ "&amp;C42,"         · "&amp;C42)))</f>
        <v/>
      </c>
      <c r="C42" s="12" t="n"/>
      <c r="D42" s="13" t="n"/>
      <c r="E42" s="13">
        <f>IF(A42="","",IF(A42="Mot-clé principal",IF($C$3="UNIVERS",$J$4,$J$3),IF(A42="Collection",$J$3,IF($C$3="PRODUIT PUR",$J$3,""))))</f>
        <v/>
      </c>
      <c r="F42" s="12">
        <f>IF(OR(D42="",E42=""),"",IF(D42&gt;=E42,"PASS",IF(D42&gt;=E42*$K$4,"REVIEW","STOP")))</f>
        <v/>
      </c>
      <c r="G42" s="23" t="n"/>
      <c r="H42" s="25" t="n"/>
      <c r="I42" s="25" t="n"/>
      <c r="J42" s="25">
        <f>IF(OR(H42="",I42=""),"",I42/1.2-H42)</f>
        <v/>
      </c>
      <c r="K42" s="12" t="n"/>
    </row>
    <row r="43">
      <c r="A43" s="12" t="n"/>
      <c r="B43" s="22">
        <f>IF(A43="","",IF(A43="Mot-clé principal","◆ "&amp;C43,IF(A43="Collection","    ├─ "&amp;C43,"         · "&amp;C43)))</f>
        <v/>
      </c>
      <c r="C43" s="12" t="n"/>
      <c r="D43" s="13" t="n"/>
      <c r="E43" s="13">
        <f>IF(A43="","",IF(A43="Mot-clé principal",IF($C$3="UNIVERS",$J$4,$J$3),IF(A43="Collection",$J$3,IF($C$3="PRODUIT PUR",$J$3,""))))</f>
        <v/>
      </c>
      <c r="F43" s="12">
        <f>IF(OR(D43="",E43=""),"",IF(D43&gt;=E43,"PASS",IF(D43&gt;=E43*$K$4,"REVIEW","STOP")))</f>
        <v/>
      </c>
      <c r="G43" s="23" t="n"/>
      <c r="H43" s="25" t="n"/>
      <c r="I43" s="25" t="n"/>
      <c r="J43" s="25">
        <f>IF(OR(H43="",I43=""),"",I43/1.2-H43)</f>
        <v/>
      </c>
      <c r="K43" s="12" t="n"/>
    </row>
    <row r="44">
      <c r="A44" s="12" t="n"/>
      <c r="B44" s="22">
        <f>IF(A44="","",IF(A44="Mot-clé principal","◆ "&amp;C44,IF(A44="Collection","    ├─ "&amp;C44,"         · "&amp;C44)))</f>
        <v/>
      </c>
      <c r="C44" s="12" t="n"/>
      <c r="D44" s="13" t="n"/>
      <c r="E44" s="13">
        <f>IF(A44="","",IF(A44="Mot-clé principal",IF($C$3="UNIVERS",$J$4,$J$3),IF(A44="Collection",$J$3,IF($C$3="PRODUIT PUR",$J$3,""))))</f>
        <v/>
      </c>
      <c r="F44" s="12">
        <f>IF(OR(D44="",E44=""),"",IF(D44&gt;=E44,"PASS",IF(D44&gt;=E44*$K$4,"REVIEW","STOP")))</f>
        <v/>
      </c>
      <c r="G44" s="23" t="n"/>
      <c r="H44" s="25" t="n"/>
      <c r="I44" s="25" t="n"/>
      <c r="J44" s="25">
        <f>IF(OR(H44="",I44=""),"",I44/1.2-H44)</f>
        <v/>
      </c>
      <c r="K44" s="12" t="n"/>
    </row>
    <row r="45">
      <c r="A45" s="12" t="n"/>
      <c r="B45" s="22">
        <f>IF(A45="","",IF(A45="Mot-clé principal","◆ "&amp;C45,IF(A45="Collection","    ├─ "&amp;C45,"         · "&amp;C45)))</f>
        <v/>
      </c>
      <c r="C45" s="12" t="n"/>
      <c r="D45" s="13" t="n"/>
      <c r="E45" s="13">
        <f>IF(A45="","",IF(A45="Mot-clé principal",IF($C$3="UNIVERS",$J$4,$J$3),IF(A45="Collection",$J$3,IF($C$3="PRODUIT PUR",$J$3,""))))</f>
        <v/>
      </c>
      <c r="F45" s="12">
        <f>IF(OR(D45="",E45=""),"",IF(D45&gt;=E45,"PASS",IF(D45&gt;=E45*$K$4,"REVIEW","STOP")))</f>
        <v/>
      </c>
      <c r="G45" s="23" t="n"/>
      <c r="H45" s="25" t="n"/>
      <c r="I45" s="25" t="n"/>
      <c r="J45" s="25">
        <f>IF(OR(H45="",I45=""),"",I45/1.2-H45)</f>
        <v/>
      </c>
      <c r="K45" s="12" t="n"/>
    </row>
    <row r="46">
      <c r="A46" s="12" t="n"/>
      <c r="B46" s="22">
        <f>IF(A46="","",IF(A46="Mot-clé principal","◆ "&amp;C46,IF(A46="Collection","    ├─ "&amp;C46,"         · "&amp;C46)))</f>
        <v/>
      </c>
      <c r="C46" s="12" t="n"/>
      <c r="D46" s="13" t="n"/>
      <c r="E46" s="13">
        <f>IF(A46="","",IF(A46="Mot-clé principal",IF($C$3="UNIVERS",$J$4,$J$3),IF(A46="Collection",$J$3,IF($C$3="PRODUIT PUR",$J$3,""))))</f>
        <v/>
      </c>
      <c r="F46" s="12">
        <f>IF(OR(D46="",E46=""),"",IF(D46&gt;=E46,"PASS",IF(D46&gt;=E46*$K$4,"REVIEW","STOP")))</f>
        <v/>
      </c>
      <c r="G46" s="23" t="n"/>
      <c r="H46" s="25" t="n"/>
      <c r="I46" s="25" t="n"/>
      <c r="J46" s="25">
        <f>IF(OR(H46="",I46=""),"",I46/1.2-H46)</f>
        <v/>
      </c>
      <c r="K46" s="12" t="n"/>
    </row>
    <row r="47">
      <c r="A47" s="12" t="n"/>
      <c r="B47" s="22">
        <f>IF(A47="","",IF(A47="Mot-clé principal","◆ "&amp;C47,IF(A47="Collection","    ├─ "&amp;C47,"         · "&amp;C47)))</f>
        <v/>
      </c>
      <c r="C47" s="12" t="n"/>
      <c r="D47" s="13" t="n"/>
      <c r="E47" s="13">
        <f>IF(A47="","",IF(A47="Mot-clé principal",IF($C$3="UNIVERS",$J$4,$J$3),IF(A47="Collection",$J$3,IF($C$3="PRODUIT PUR",$J$3,""))))</f>
        <v/>
      </c>
      <c r="F47" s="12">
        <f>IF(OR(D47="",E47=""),"",IF(D47&gt;=E47,"PASS",IF(D47&gt;=E47*$K$4,"REVIEW","STOP")))</f>
        <v/>
      </c>
      <c r="G47" s="23" t="n"/>
      <c r="H47" s="25" t="n"/>
      <c r="I47" s="25" t="n"/>
      <c r="J47" s="25">
        <f>IF(OR(H47="",I47=""),"",I47/1.2-H47)</f>
        <v/>
      </c>
      <c r="K47" s="12" t="n"/>
    </row>
    <row r="48">
      <c r="A48" s="12" t="n"/>
      <c r="B48" s="22">
        <f>IF(A48="","",IF(A48="Mot-clé principal","◆ "&amp;C48,IF(A48="Collection","    ├─ "&amp;C48,"         · "&amp;C48)))</f>
        <v/>
      </c>
      <c r="C48" s="12" t="n"/>
      <c r="D48" s="13" t="n"/>
      <c r="E48" s="13">
        <f>IF(A48="","",IF(A48="Mot-clé principal",IF($C$3="UNIVERS",$J$4,$J$3),IF(A48="Collection",$J$3,IF($C$3="PRODUIT PUR",$J$3,""))))</f>
        <v/>
      </c>
      <c r="F48" s="12">
        <f>IF(OR(D48="",E48=""),"",IF(D48&gt;=E48,"PASS",IF(D48&gt;=E48*$K$4,"REVIEW","STOP")))</f>
        <v/>
      </c>
      <c r="G48" s="23" t="n"/>
      <c r="H48" s="25" t="n"/>
      <c r="I48" s="25" t="n"/>
      <c r="J48" s="25">
        <f>IF(OR(H48="",I48=""),"",I48/1.2-H48)</f>
        <v/>
      </c>
      <c r="K48" s="12" t="n"/>
    </row>
    <row r="49">
      <c r="A49" s="12" t="n"/>
      <c r="B49" s="22">
        <f>IF(A49="","",IF(A49="Mot-clé principal","◆ "&amp;C49,IF(A49="Collection","    ├─ "&amp;C49,"         · "&amp;C49)))</f>
        <v/>
      </c>
      <c r="C49" s="12" t="n"/>
      <c r="D49" s="13" t="n"/>
      <c r="E49" s="13">
        <f>IF(A49="","",IF(A49="Mot-clé principal",IF($C$3="UNIVERS",$J$4,$J$3),IF(A49="Collection",$J$3,IF($C$3="PRODUIT PUR",$J$3,""))))</f>
        <v/>
      </c>
      <c r="F49" s="12">
        <f>IF(OR(D49="",E49=""),"",IF(D49&gt;=E49,"PASS",IF(D49&gt;=E49*$K$4,"REVIEW","STOP")))</f>
        <v/>
      </c>
      <c r="G49" s="23" t="n"/>
      <c r="H49" s="25" t="n"/>
      <c r="I49" s="25" t="n"/>
      <c r="J49" s="25">
        <f>IF(OR(H49="",I49=""),"",I49/1.2-H49)</f>
        <v/>
      </c>
      <c r="K49" s="12" t="n"/>
    </row>
    <row r="50">
      <c r="A50" s="12" t="n"/>
      <c r="B50" s="22">
        <f>IF(A50="","",IF(A50="Mot-clé principal","◆ "&amp;C50,IF(A50="Collection","    ├─ "&amp;C50,"         · "&amp;C50)))</f>
        <v/>
      </c>
      <c r="C50" s="12" t="n"/>
      <c r="D50" s="13" t="n"/>
      <c r="E50" s="13">
        <f>IF(A50="","",IF(A50="Mot-clé principal",IF($C$3="UNIVERS",$J$4,$J$3),IF(A50="Collection",$J$3,IF($C$3="PRODUIT PUR",$J$3,""))))</f>
        <v/>
      </c>
      <c r="F50" s="12">
        <f>IF(OR(D50="",E50=""),"",IF(D50&gt;=E50,"PASS",IF(D50&gt;=E50*$K$4,"REVIEW","STOP")))</f>
        <v/>
      </c>
      <c r="G50" s="23" t="n"/>
      <c r="H50" s="25" t="n"/>
      <c r="I50" s="25" t="n"/>
      <c r="J50" s="25">
        <f>IF(OR(H50="",I50=""),"",I50/1.2-H50)</f>
        <v/>
      </c>
      <c r="K50" s="12" t="n"/>
    </row>
    <row r="51">
      <c r="A51" s="12" t="n"/>
      <c r="B51" s="22">
        <f>IF(A51="","",IF(A51="Mot-clé principal","◆ "&amp;C51,IF(A51="Collection","    ├─ "&amp;C51,"         · "&amp;C51)))</f>
        <v/>
      </c>
      <c r="C51" s="12" t="n"/>
      <c r="D51" s="13" t="n"/>
      <c r="E51" s="13">
        <f>IF(A51="","",IF(A51="Mot-clé principal",IF($C$3="UNIVERS",$J$4,$J$3),IF(A51="Collection",$J$3,IF($C$3="PRODUIT PUR",$J$3,""))))</f>
        <v/>
      </c>
      <c r="F51" s="12">
        <f>IF(OR(D51="",E51=""),"",IF(D51&gt;=E51,"PASS",IF(D51&gt;=E51*$K$4,"REVIEW","STOP")))</f>
        <v/>
      </c>
      <c r="G51" s="23" t="n"/>
      <c r="H51" s="25" t="n"/>
      <c r="I51" s="25" t="n"/>
      <c r="J51" s="25">
        <f>IF(OR(H51="",I51=""),"",I51/1.2-H51)</f>
        <v/>
      </c>
      <c r="K51" s="12" t="n"/>
    </row>
    <row r="52">
      <c r="A52" s="12" t="n"/>
      <c r="B52" s="22">
        <f>IF(A52="","",IF(A52="Mot-clé principal","◆ "&amp;C52,IF(A52="Collection","    ├─ "&amp;C52,"         · "&amp;C52)))</f>
        <v/>
      </c>
      <c r="C52" s="12" t="n"/>
      <c r="D52" s="13" t="n"/>
      <c r="E52" s="13">
        <f>IF(A52="","",IF(A52="Mot-clé principal",IF($C$3="UNIVERS",$J$4,$J$3),IF(A52="Collection",$J$3,IF($C$3="PRODUIT PUR",$J$3,""))))</f>
        <v/>
      </c>
      <c r="F52" s="12">
        <f>IF(OR(D52="",E52=""),"",IF(D52&gt;=E52,"PASS",IF(D52&gt;=E52*$K$4,"REVIEW","STOP")))</f>
        <v/>
      </c>
      <c r="G52" s="23" t="n"/>
      <c r="H52" s="25" t="n"/>
      <c r="I52" s="25" t="n"/>
      <c r="J52" s="25">
        <f>IF(OR(H52="",I52=""),"",I52/1.2-H52)</f>
        <v/>
      </c>
      <c r="K52" s="12" t="n"/>
    </row>
    <row r="53">
      <c r="A53" s="12" t="n"/>
      <c r="B53" s="22">
        <f>IF(A53="","",IF(A53="Mot-clé principal","◆ "&amp;C53,IF(A53="Collection","    ├─ "&amp;C53,"         · "&amp;C53)))</f>
        <v/>
      </c>
      <c r="C53" s="12" t="n"/>
      <c r="D53" s="13" t="n"/>
      <c r="E53" s="13">
        <f>IF(A53="","",IF(A53="Mot-clé principal",IF($C$3="UNIVERS",$J$4,$J$3),IF(A53="Collection",$J$3,IF($C$3="PRODUIT PUR",$J$3,""))))</f>
        <v/>
      </c>
      <c r="F53" s="12">
        <f>IF(OR(D53="",E53=""),"",IF(D53&gt;=E53,"PASS",IF(D53&gt;=E53*$K$4,"REVIEW","STOP")))</f>
        <v/>
      </c>
      <c r="G53" s="23" t="n"/>
      <c r="H53" s="25" t="n"/>
      <c r="I53" s="25" t="n"/>
      <c r="J53" s="25">
        <f>IF(OR(H53="",I53=""),"",I53/1.2-H53)</f>
        <v/>
      </c>
      <c r="K53" s="12" t="n"/>
    </row>
    <row r="54">
      <c r="A54" s="12" t="n"/>
      <c r="B54" s="22">
        <f>IF(A54="","",IF(A54="Mot-clé principal","◆ "&amp;C54,IF(A54="Collection","    ├─ "&amp;C54,"         · "&amp;C54)))</f>
        <v/>
      </c>
      <c r="C54" s="12" t="n"/>
      <c r="D54" s="13" t="n"/>
      <c r="E54" s="13">
        <f>IF(A54="","",IF(A54="Mot-clé principal",IF($C$3="UNIVERS",$J$4,$J$3),IF(A54="Collection",$J$3,IF($C$3="PRODUIT PUR",$J$3,""))))</f>
        <v/>
      </c>
      <c r="F54" s="12">
        <f>IF(OR(D54="",E54=""),"",IF(D54&gt;=E54,"PASS",IF(D54&gt;=E54*$K$4,"REVIEW","STOP")))</f>
        <v/>
      </c>
      <c r="G54" s="23" t="n"/>
      <c r="H54" s="25" t="n"/>
      <c r="I54" s="25" t="n"/>
      <c r="J54" s="25">
        <f>IF(OR(H54="",I54=""),"",I54/1.2-H54)</f>
        <v/>
      </c>
      <c r="K54" s="12" t="n"/>
    </row>
    <row r="55">
      <c r="A55" s="12" t="n"/>
      <c r="B55" s="22">
        <f>IF(A55="","",IF(A55="Mot-clé principal","◆ "&amp;C55,IF(A55="Collection","    ├─ "&amp;C55,"         · "&amp;C55)))</f>
        <v/>
      </c>
      <c r="C55" s="12" t="n"/>
      <c r="D55" s="13" t="n"/>
      <c r="E55" s="13">
        <f>IF(A55="","",IF(A55="Mot-clé principal",IF($C$3="UNIVERS",$J$4,$J$3),IF(A55="Collection",$J$3,IF($C$3="PRODUIT PUR",$J$3,""))))</f>
        <v/>
      </c>
      <c r="F55" s="12">
        <f>IF(OR(D55="",E55=""),"",IF(D55&gt;=E55,"PASS",IF(D55&gt;=E55*$K$4,"REVIEW","STOP")))</f>
        <v/>
      </c>
      <c r="G55" s="23" t="n"/>
      <c r="H55" s="25" t="n"/>
      <c r="I55" s="25" t="n"/>
      <c r="J55" s="25">
        <f>IF(OR(H55="",I55=""),"",I55/1.2-H55)</f>
        <v/>
      </c>
      <c r="K55" s="12" t="n"/>
    </row>
    <row r="56">
      <c r="A56" s="12" t="n"/>
      <c r="B56" s="22">
        <f>IF(A56="","",IF(A56="Mot-clé principal","◆ "&amp;C56,IF(A56="Collection","    ├─ "&amp;C56,"         · "&amp;C56)))</f>
        <v/>
      </c>
      <c r="C56" s="12" t="n"/>
      <c r="D56" s="13" t="n"/>
      <c r="E56" s="13">
        <f>IF(A56="","",IF(A56="Mot-clé principal",IF($C$3="UNIVERS",$J$4,$J$3),IF(A56="Collection",$J$3,IF($C$3="PRODUIT PUR",$J$3,""))))</f>
        <v/>
      </c>
      <c r="F56" s="12">
        <f>IF(OR(D56="",E56=""),"",IF(D56&gt;=E56,"PASS",IF(D56&gt;=E56*$K$4,"REVIEW","STOP")))</f>
        <v/>
      </c>
      <c r="G56" s="23" t="n"/>
      <c r="H56" s="25" t="n"/>
      <c r="I56" s="25" t="n"/>
      <c r="J56" s="25">
        <f>IF(OR(H56="",I56=""),"",I56/1.2-H56)</f>
        <v/>
      </c>
      <c r="K56" s="12" t="n"/>
    </row>
    <row r="57">
      <c r="A57" s="12" t="n"/>
      <c r="B57" s="22">
        <f>IF(A57="","",IF(A57="Mot-clé principal","◆ "&amp;C57,IF(A57="Collection","    ├─ "&amp;C57,"         · "&amp;C57)))</f>
        <v/>
      </c>
      <c r="C57" s="12" t="n"/>
      <c r="D57" s="13" t="n"/>
      <c r="E57" s="13">
        <f>IF(A57="","",IF(A57="Mot-clé principal",IF($C$3="UNIVERS",$J$4,$J$3),IF(A57="Collection",$J$3,IF($C$3="PRODUIT PUR",$J$3,""))))</f>
        <v/>
      </c>
      <c r="F57" s="12">
        <f>IF(OR(D57="",E57=""),"",IF(D57&gt;=E57,"PASS",IF(D57&gt;=E57*$K$4,"REVIEW","STOP")))</f>
        <v/>
      </c>
      <c r="G57" s="23" t="n"/>
      <c r="H57" s="25" t="n"/>
      <c r="I57" s="25" t="n"/>
      <c r="J57" s="25">
        <f>IF(OR(H57="",I57=""),"",I57/1.2-H57)</f>
        <v/>
      </c>
      <c r="K57" s="12" t="n"/>
    </row>
    <row r="58">
      <c r="A58" s="12" t="n"/>
      <c r="B58" s="22">
        <f>IF(A58="","",IF(A58="Mot-clé principal","◆ "&amp;C58,IF(A58="Collection","    ├─ "&amp;C58,"         · "&amp;C58)))</f>
        <v/>
      </c>
      <c r="C58" s="12" t="n"/>
      <c r="D58" s="13" t="n"/>
      <c r="E58" s="13">
        <f>IF(A58="","",IF(A58="Mot-clé principal",IF($C$3="UNIVERS",$J$4,$J$3),IF(A58="Collection",$J$3,IF($C$3="PRODUIT PUR",$J$3,""))))</f>
        <v/>
      </c>
      <c r="F58" s="12">
        <f>IF(OR(D58="",E58=""),"",IF(D58&gt;=E58,"PASS",IF(D58&gt;=E58*$K$4,"REVIEW","STOP")))</f>
        <v/>
      </c>
      <c r="G58" s="23" t="n"/>
      <c r="H58" s="25" t="n"/>
      <c r="I58" s="25" t="n"/>
      <c r="J58" s="25">
        <f>IF(OR(H58="",I58=""),"",I58/1.2-H58)</f>
        <v/>
      </c>
      <c r="K58" s="12" t="n"/>
    </row>
    <row r="59">
      <c r="A59" s="12" t="n"/>
      <c r="B59" s="22">
        <f>IF(A59="","",IF(A59="Mot-clé principal","◆ "&amp;C59,IF(A59="Collection","    ├─ "&amp;C59,"         · "&amp;C59)))</f>
        <v/>
      </c>
      <c r="C59" s="12" t="n"/>
      <c r="D59" s="13" t="n"/>
      <c r="E59" s="13">
        <f>IF(A59="","",IF(A59="Mot-clé principal",IF($C$3="UNIVERS",$J$4,$J$3),IF(A59="Collection",$J$3,IF($C$3="PRODUIT PUR",$J$3,""))))</f>
        <v/>
      </c>
      <c r="F59" s="12">
        <f>IF(OR(D59="",E59=""),"",IF(D59&gt;=E59,"PASS",IF(D59&gt;=E59*$K$4,"REVIEW","STOP")))</f>
        <v/>
      </c>
      <c r="G59" s="23" t="n"/>
      <c r="H59" s="25" t="n"/>
      <c r="I59" s="25" t="n"/>
      <c r="J59" s="25">
        <f>IF(OR(H59="",I59=""),"",I59/1.2-H59)</f>
        <v/>
      </c>
      <c r="K59" s="12" t="n"/>
    </row>
    <row r="60">
      <c r="A60" s="12" t="n"/>
      <c r="B60" s="22">
        <f>IF(A60="","",IF(A60="Mot-clé principal","◆ "&amp;C60,IF(A60="Collection","    ├─ "&amp;C60,"         · "&amp;C60)))</f>
        <v/>
      </c>
      <c r="C60" s="12" t="n"/>
      <c r="D60" s="13" t="n"/>
      <c r="E60" s="13">
        <f>IF(A60="","",IF(A60="Mot-clé principal",IF($C$3="UNIVERS",$J$4,$J$3),IF(A60="Collection",$J$3,IF($C$3="PRODUIT PUR",$J$3,""))))</f>
        <v/>
      </c>
      <c r="F60" s="12">
        <f>IF(OR(D60="",E60=""),"",IF(D60&gt;=E60,"PASS",IF(D60&gt;=E60*$K$4,"REVIEW","STOP")))</f>
        <v/>
      </c>
      <c r="G60" s="23" t="n"/>
      <c r="H60" s="25" t="n"/>
      <c r="I60" s="25" t="n"/>
      <c r="J60" s="25">
        <f>IF(OR(H60="",I60=""),"",I60/1.2-H60)</f>
        <v/>
      </c>
      <c r="K60" s="12" t="n"/>
    </row>
    <row r="61">
      <c r="A61" s="12" t="n"/>
      <c r="B61" s="22">
        <f>IF(A61="","",IF(A61="Mot-clé principal","◆ "&amp;C61,IF(A61="Collection","    ├─ "&amp;C61,"         · "&amp;C61)))</f>
        <v/>
      </c>
      <c r="C61" s="12" t="n"/>
      <c r="D61" s="13" t="n"/>
      <c r="E61" s="13">
        <f>IF(A61="","",IF(A61="Mot-clé principal",IF($C$3="UNIVERS",$J$4,$J$3),IF(A61="Collection",$J$3,IF($C$3="PRODUIT PUR",$J$3,""))))</f>
        <v/>
      </c>
      <c r="F61" s="12">
        <f>IF(OR(D61="",E61=""),"",IF(D61&gt;=E61,"PASS",IF(D61&gt;=E61*$K$4,"REVIEW","STOP")))</f>
        <v/>
      </c>
      <c r="G61" s="23" t="n"/>
      <c r="H61" s="25" t="n"/>
      <c r="I61" s="25" t="n"/>
      <c r="J61" s="25">
        <f>IF(OR(H61="",I61=""),"",I61/1.2-H61)</f>
        <v/>
      </c>
      <c r="K61" s="12" t="n"/>
    </row>
    <row r="62">
      <c r="A62" s="12" t="n"/>
      <c r="B62" s="22">
        <f>IF(A62="","",IF(A62="Mot-clé principal","◆ "&amp;C62,IF(A62="Collection","    ├─ "&amp;C62,"         · "&amp;C62)))</f>
        <v/>
      </c>
      <c r="C62" s="12" t="n"/>
      <c r="D62" s="13" t="n"/>
      <c r="E62" s="13">
        <f>IF(A62="","",IF(A62="Mot-clé principal",IF($C$3="UNIVERS",$J$4,$J$3),IF(A62="Collection",$J$3,IF($C$3="PRODUIT PUR",$J$3,""))))</f>
        <v/>
      </c>
      <c r="F62" s="12">
        <f>IF(OR(D62="",E62=""),"",IF(D62&gt;=E62,"PASS",IF(D62&gt;=E62*$K$4,"REVIEW","STOP")))</f>
        <v/>
      </c>
      <c r="G62" s="23" t="n"/>
      <c r="H62" s="25" t="n"/>
      <c r="I62" s="25" t="n"/>
      <c r="J62" s="25">
        <f>IF(OR(H62="",I62=""),"",I62/1.2-H62)</f>
        <v/>
      </c>
      <c r="K62" s="12" t="n"/>
    </row>
    <row r="63">
      <c r="A63" s="12" t="n"/>
      <c r="B63" s="22">
        <f>IF(A63="","",IF(A63="Mot-clé principal","◆ "&amp;C63,IF(A63="Collection","    ├─ "&amp;C63,"         · "&amp;C63)))</f>
        <v/>
      </c>
      <c r="C63" s="12" t="n"/>
      <c r="D63" s="13" t="n"/>
      <c r="E63" s="13">
        <f>IF(A63="","",IF(A63="Mot-clé principal",IF($C$3="UNIVERS",$J$4,$J$3),IF(A63="Collection",$J$3,IF($C$3="PRODUIT PUR",$J$3,""))))</f>
        <v/>
      </c>
      <c r="F63" s="12">
        <f>IF(OR(D63="",E63=""),"",IF(D63&gt;=E63,"PASS",IF(D63&gt;=E63*$K$4,"REVIEW","STOP")))</f>
        <v/>
      </c>
      <c r="G63" s="23" t="n"/>
      <c r="H63" s="25" t="n"/>
      <c r="I63" s="25" t="n"/>
      <c r="J63" s="25">
        <f>IF(OR(H63="",I63=""),"",I63/1.2-H63)</f>
        <v/>
      </c>
      <c r="K63" s="12" t="n"/>
    </row>
    <row r="64">
      <c r="A64" s="12" t="n"/>
      <c r="B64" s="22">
        <f>IF(A64="","",IF(A64="Mot-clé principal","◆ "&amp;C64,IF(A64="Collection","    ├─ "&amp;C64,"         · "&amp;C64)))</f>
        <v/>
      </c>
      <c r="C64" s="12" t="n"/>
      <c r="D64" s="13" t="n"/>
      <c r="E64" s="13">
        <f>IF(A64="","",IF(A64="Mot-clé principal",IF($C$3="UNIVERS",$J$4,$J$3),IF(A64="Collection",$J$3,IF($C$3="PRODUIT PUR",$J$3,""))))</f>
        <v/>
      </c>
      <c r="F64" s="12">
        <f>IF(OR(D64="",E64=""),"",IF(D64&gt;=E64,"PASS",IF(D64&gt;=E64*$K$4,"REVIEW","STOP")))</f>
        <v/>
      </c>
      <c r="G64" s="23" t="n"/>
      <c r="H64" s="25" t="n"/>
      <c r="I64" s="25" t="n"/>
      <c r="J64" s="25">
        <f>IF(OR(H64="",I64=""),"",I64/1.2-H64)</f>
        <v/>
      </c>
      <c r="K64" s="12" t="n"/>
    </row>
    <row r="65">
      <c r="A65" s="12" t="n"/>
      <c r="B65" s="22">
        <f>IF(A65="","",IF(A65="Mot-clé principal","◆ "&amp;C65,IF(A65="Collection","    ├─ "&amp;C65,"         · "&amp;C65)))</f>
        <v/>
      </c>
      <c r="C65" s="12" t="n"/>
      <c r="D65" s="13" t="n"/>
      <c r="E65" s="13">
        <f>IF(A65="","",IF(A65="Mot-clé principal",IF($C$3="UNIVERS",$J$4,$J$3),IF(A65="Collection",$J$3,IF($C$3="PRODUIT PUR",$J$3,""))))</f>
        <v/>
      </c>
      <c r="F65" s="12">
        <f>IF(OR(D65="",E65=""),"",IF(D65&gt;=E65,"PASS",IF(D65&gt;=E65*$K$4,"REVIEW","STOP")))</f>
        <v/>
      </c>
      <c r="G65" s="23" t="n"/>
      <c r="H65" s="25" t="n"/>
      <c r="I65" s="25" t="n"/>
      <c r="J65" s="25">
        <f>IF(OR(H65="",I65=""),"",I65/1.2-H65)</f>
        <v/>
      </c>
      <c r="K65" s="12" t="n"/>
    </row>
    <row r="66">
      <c r="A66" s="12" t="n"/>
      <c r="B66" s="22">
        <f>IF(A66="","",IF(A66="Mot-clé principal","◆ "&amp;C66,IF(A66="Collection","    ├─ "&amp;C66,"         · "&amp;C66)))</f>
        <v/>
      </c>
      <c r="C66" s="12" t="n"/>
      <c r="D66" s="13" t="n"/>
      <c r="E66" s="13">
        <f>IF(A66="","",IF(A66="Mot-clé principal",IF($C$3="UNIVERS",$J$4,$J$3),IF(A66="Collection",$J$3,IF($C$3="PRODUIT PUR",$J$3,""))))</f>
        <v/>
      </c>
      <c r="F66" s="12">
        <f>IF(OR(D66="",E66=""),"",IF(D66&gt;=E66,"PASS",IF(D66&gt;=E66*$K$4,"REVIEW","STOP")))</f>
        <v/>
      </c>
      <c r="G66" s="23" t="n"/>
      <c r="H66" s="25" t="n"/>
      <c r="I66" s="25" t="n"/>
      <c r="J66" s="25">
        <f>IF(OR(H66="",I66=""),"",I66/1.2-H66)</f>
        <v/>
      </c>
      <c r="K66" s="12" t="n"/>
    </row>
    <row r="67">
      <c r="A67" s="12" t="n"/>
      <c r="B67" s="22">
        <f>IF(A67="","",IF(A67="Mot-clé principal","◆ "&amp;C67,IF(A67="Collection","    ├─ "&amp;C67,"         · "&amp;C67)))</f>
        <v/>
      </c>
      <c r="C67" s="12" t="n"/>
      <c r="D67" s="13" t="n"/>
      <c r="E67" s="13">
        <f>IF(A67="","",IF(A67="Mot-clé principal",IF($C$3="UNIVERS",$J$4,$J$3),IF(A67="Collection",$J$3,IF($C$3="PRODUIT PUR",$J$3,""))))</f>
        <v/>
      </c>
      <c r="F67" s="12">
        <f>IF(OR(D67="",E67=""),"",IF(D67&gt;=E67,"PASS",IF(D67&gt;=E67*$K$4,"REVIEW","STOP")))</f>
        <v/>
      </c>
      <c r="G67" s="23" t="n"/>
      <c r="H67" s="25" t="n"/>
      <c r="I67" s="25" t="n"/>
      <c r="J67" s="25">
        <f>IF(OR(H67="",I67=""),"",I67/1.2-H67)</f>
        <v/>
      </c>
      <c r="K67" s="12" t="n"/>
    </row>
    <row r="68">
      <c r="A68" s="12" t="n"/>
      <c r="B68" s="22">
        <f>IF(A68="","",IF(A68="Mot-clé principal","◆ "&amp;C68,IF(A68="Collection","    ├─ "&amp;C68,"         · "&amp;C68)))</f>
        <v/>
      </c>
      <c r="C68" s="12" t="n"/>
      <c r="D68" s="13" t="n"/>
      <c r="E68" s="13">
        <f>IF(A68="","",IF(A68="Mot-clé principal",IF($C$3="UNIVERS",$J$4,$J$3),IF(A68="Collection",$J$3,IF($C$3="PRODUIT PUR",$J$3,""))))</f>
        <v/>
      </c>
      <c r="F68" s="12">
        <f>IF(OR(D68="",E68=""),"",IF(D68&gt;=E68,"PASS",IF(D68&gt;=E68*$K$4,"REVIEW","STOP")))</f>
        <v/>
      </c>
      <c r="G68" s="23" t="n"/>
      <c r="H68" s="25" t="n"/>
      <c r="I68" s="25" t="n"/>
      <c r="J68" s="25">
        <f>IF(OR(H68="",I68=""),"",I68/1.2-H68)</f>
        <v/>
      </c>
      <c r="K68" s="12" t="n"/>
    </row>
    <row r="69">
      <c r="A69" s="12" t="n"/>
      <c r="B69" s="22">
        <f>IF(A69="","",IF(A69="Mot-clé principal","◆ "&amp;C69,IF(A69="Collection","    ├─ "&amp;C69,"         · "&amp;C69)))</f>
        <v/>
      </c>
      <c r="C69" s="12" t="n"/>
      <c r="D69" s="13" t="n"/>
      <c r="E69" s="13">
        <f>IF(A69="","",IF(A69="Mot-clé principal",IF($C$3="UNIVERS",$J$4,$J$3),IF(A69="Collection",$J$3,IF($C$3="PRODUIT PUR",$J$3,""))))</f>
        <v/>
      </c>
      <c r="F69" s="12">
        <f>IF(OR(D69="",E69=""),"",IF(D69&gt;=E69,"PASS",IF(D69&gt;=E69*$K$4,"REVIEW","STOP")))</f>
        <v/>
      </c>
      <c r="G69" s="23" t="n"/>
      <c r="H69" s="25" t="n"/>
      <c r="I69" s="25" t="n"/>
      <c r="J69" s="25">
        <f>IF(OR(H69="",I69=""),"",I69/1.2-H69)</f>
        <v/>
      </c>
      <c r="K69" s="12" t="n"/>
    </row>
    <row r="70">
      <c r="A70" s="12" t="n"/>
      <c r="B70" s="22">
        <f>IF(A70="","",IF(A70="Mot-clé principal","◆ "&amp;C70,IF(A70="Collection","    ├─ "&amp;C70,"         · "&amp;C70)))</f>
        <v/>
      </c>
      <c r="C70" s="12" t="n"/>
      <c r="D70" s="13" t="n"/>
      <c r="E70" s="13">
        <f>IF(A70="","",IF(A70="Mot-clé principal",IF($C$3="UNIVERS",$J$4,$J$3),IF(A70="Collection",$J$3,IF($C$3="PRODUIT PUR",$J$3,""))))</f>
        <v/>
      </c>
      <c r="F70" s="12">
        <f>IF(OR(D70="",E70=""),"",IF(D70&gt;=E70,"PASS",IF(D70&gt;=E70*$K$4,"REVIEW","STOP")))</f>
        <v/>
      </c>
      <c r="G70" s="23" t="n"/>
      <c r="H70" s="25" t="n"/>
      <c r="I70" s="25" t="n"/>
      <c r="J70" s="25">
        <f>IF(OR(H70="",I70=""),"",I70/1.2-H70)</f>
        <v/>
      </c>
      <c r="K70" s="12" t="n"/>
    </row>
    <row r="71">
      <c r="A71" s="12" t="n"/>
      <c r="B71" s="22">
        <f>IF(A71="","",IF(A71="Mot-clé principal","◆ "&amp;C71,IF(A71="Collection","    ├─ "&amp;C71,"         · "&amp;C71)))</f>
        <v/>
      </c>
      <c r="C71" s="12" t="n"/>
      <c r="D71" s="13" t="n"/>
      <c r="E71" s="13">
        <f>IF(A71="","",IF(A71="Mot-clé principal",IF($C$3="UNIVERS",$J$4,$J$3),IF(A71="Collection",$J$3,IF($C$3="PRODUIT PUR",$J$3,""))))</f>
        <v/>
      </c>
      <c r="F71" s="12">
        <f>IF(OR(D71="",E71=""),"",IF(D71&gt;=E71,"PASS",IF(D71&gt;=E71*$K$4,"REVIEW","STOP")))</f>
        <v/>
      </c>
      <c r="G71" s="23" t="n"/>
      <c r="H71" s="25" t="n"/>
      <c r="I71" s="25" t="n"/>
      <c r="J71" s="25">
        <f>IF(OR(H71="",I71=""),"",I71/1.2-H71)</f>
        <v/>
      </c>
      <c r="K71" s="12" t="n"/>
    </row>
    <row r="72">
      <c r="A72" s="12" t="n"/>
      <c r="B72" s="22">
        <f>IF(A72="","",IF(A72="Mot-clé principal","◆ "&amp;C72,IF(A72="Collection","    ├─ "&amp;C72,"         · "&amp;C72)))</f>
        <v/>
      </c>
      <c r="C72" s="12" t="n"/>
      <c r="D72" s="13" t="n"/>
      <c r="E72" s="13">
        <f>IF(A72="","",IF(A72="Mot-clé principal",IF($C$3="UNIVERS",$J$4,$J$3),IF(A72="Collection",$J$3,IF($C$3="PRODUIT PUR",$J$3,""))))</f>
        <v/>
      </c>
      <c r="F72" s="12">
        <f>IF(OR(D72="",E72=""),"",IF(D72&gt;=E72,"PASS",IF(D72&gt;=E72*$K$4,"REVIEW","STOP")))</f>
        <v/>
      </c>
      <c r="G72" s="23" t="n"/>
      <c r="H72" s="25" t="n"/>
      <c r="I72" s="25" t="n"/>
      <c r="J72" s="25">
        <f>IF(OR(H72="",I72=""),"",I72/1.2-H72)</f>
        <v/>
      </c>
      <c r="K72" s="12" t="n"/>
    </row>
    <row r="73">
      <c r="A73" s="12" t="n"/>
      <c r="B73" s="22">
        <f>IF(A73="","",IF(A73="Mot-clé principal","◆ "&amp;C73,IF(A73="Collection","    ├─ "&amp;C73,"         · "&amp;C73)))</f>
        <v/>
      </c>
      <c r="C73" s="12" t="n"/>
      <c r="D73" s="13" t="n"/>
      <c r="E73" s="13">
        <f>IF(A73="","",IF(A73="Mot-clé principal",IF($C$3="UNIVERS",$J$4,$J$3),IF(A73="Collection",$J$3,IF($C$3="PRODUIT PUR",$J$3,""))))</f>
        <v/>
      </c>
      <c r="F73" s="12">
        <f>IF(OR(D73="",E73=""),"",IF(D73&gt;=E73,"PASS",IF(D73&gt;=E73*$K$4,"REVIEW","STOP")))</f>
        <v/>
      </c>
      <c r="G73" s="23" t="n"/>
      <c r="H73" s="25" t="n"/>
      <c r="I73" s="25" t="n"/>
      <c r="J73" s="25">
        <f>IF(OR(H73="",I73=""),"",I73/1.2-H73)</f>
        <v/>
      </c>
      <c r="K73" s="12" t="n"/>
    </row>
    <row r="74">
      <c r="A74" s="12" t="n"/>
      <c r="B74" s="22">
        <f>IF(A74="","",IF(A74="Mot-clé principal","◆ "&amp;C74,IF(A74="Collection","    ├─ "&amp;C74,"         · "&amp;C74)))</f>
        <v/>
      </c>
      <c r="C74" s="12" t="n"/>
      <c r="D74" s="13" t="n"/>
      <c r="E74" s="13">
        <f>IF(A74="","",IF(A74="Mot-clé principal",IF($C$3="UNIVERS",$J$4,$J$3),IF(A74="Collection",$J$3,IF($C$3="PRODUIT PUR",$J$3,""))))</f>
        <v/>
      </c>
      <c r="F74" s="12">
        <f>IF(OR(D74="",E74=""),"",IF(D74&gt;=E74,"PASS",IF(D74&gt;=E74*$K$4,"REVIEW","STOP")))</f>
        <v/>
      </c>
      <c r="G74" s="23" t="n"/>
      <c r="H74" s="25" t="n"/>
      <c r="I74" s="25" t="n"/>
      <c r="J74" s="25">
        <f>IF(OR(H74="",I74=""),"",I74/1.2-H74)</f>
        <v/>
      </c>
      <c r="K74" s="12" t="n"/>
    </row>
    <row r="75">
      <c r="A75" s="12" t="n"/>
      <c r="B75" s="22">
        <f>IF(A75="","",IF(A75="Mot-clé principal","◆ "&amp;C75,IF(A75="Collection","    ├─ "&amp;C75,"         · "&amp;C75)))</f>
        <v/>
      </c>
      <c r="C75" s="12" t="n"/>
      <c r="D75" s="13" t="n"/>
      <c r="E75" s="13">
        <f>IF(A75="","",IF(A75="Mot-clé principal",IF($C$3="UNIVERS",$J$4,$J$3),IF(A75="Collection",$J$3,IF($C$3="PRODUIT PUR",$J$3,""))))</f>
        <v/>
      </c>
      <c r="F75" s="12">
        <f>IF(OR(D75="",E75=""),"",IF(D75&gt;=E75,"PASS",IF(D75&gt;=E75*$K$4,"REVIEW","STOP")))</f>
        <v/>
      </c>
      <c r="G75" s="23" t="n"/>
      <c r="H75" s="25" t="n"/>
      <c r="I75" s="25" t="n"/>
      <c r="J75" s="25">
        <f>IF(OR(H75="",I75=""),"",I75/1.2-H75)</f>
        <v/>
      </c>
      <c r="K75" s="12" t="n"/>
    </row>
    <row r="76">
      <c r="A76" s="12" t="n"/>
      <c r="B76" s="22">
        <f>IF(A76="","",IF(A76="Mot-clé principal","◆ "&amp;C76,IF(A76="Collection","    ├─ "&amp;C76,"         · "&amp;C76)))</f>
        <v/>
      </c>
      <c r="C76" s="12" t="n"/>
      <c r="D76" s="13" t="n"/>
      <c r="E76" s="13">
        <f>IF(A76="","",IF(A76="Mot-clé principal",IF($C$3="UNIVERS",$J$4,$J$3),IF(A76="Collection",$J$3,IF($C$3="PRODUIT PUR",$J$3,""))))</f>
        <v/>
      </c>
      <c r="F76" s="12">
        <f>IF(OR(D76="",E76=""),"",IF(D76&gt;=E76,"PASS",IF(D76&gt;=E76*$K$4,"REVIEW","STOP")))</f>
        <v/>
      </c>
      <c r="G76" s="23" t="n"/>
      <c r="H76" s="25" t="n"/>
      <c r="I76" s="25" t="n"/>
      <c r="J76" s="25">
        <f>IF(OR(H76="",I76=""),"",I76/1.2-H76)</f>
        <v/>
      </c>
      <c r="K76" s="12" t="n"/>
    </row>
    <row r="77">
      <c r="A77" s="12" t="n"/>
      <c r="B77" s="22">
        <f>IF(A77="","",IF(A77="Mot-clé principal","◆ "&amp;C77,IF(A77="Collection","    ├─ "&amp;C77,"         · "&amp;C77)))</f>
        <v/>
      </c>
      <c r="C77" s="12" t="n"/>
      <c r="D77" s="13" t="n"/>
      <c r="E77" s="13">
        <f>IF(A77="","",IF(A77="Mot-clé principal",IF($C$3="UNIVERS",$J$4,$J$3),IF(A77="Collection",$J$3,IF($C$3="PRODUIT PUR",$J$3,""))))</f>
        <v/>
      </c>
      <c r="F77" s="12">
        <f>IF(OR(D77="",E77=""),"",IF(D77&gt;=E77,"PASS",IF(D77&gt;=E77*$K$4,"REVIEW","STOP")))</f>
        <v/>
      </c>
      <c r="G77" s="23" t="n"/>
      <c r="H77" s="25" t="n"/>
      <c r="I77" s="25" t="n"/>
      <c r="J77" s="25">
        <f>IF(OR(H77="",I77=""),"",I77/1.2-H77)</f>
        <v/>
      </c>
      <c r="K77" s="12" t="n"/>
    </row>
    <row r="78">
      <c r="A78" s="12" t="n"/>
      <c r="B78" s="22">
        <f>IF(A78="","",IF(A78="Mot-clé principal","◆ "&amp;C78,IF(A78="Collection","    ├─ "&amp;C78,"         · "&amp;C78)))</f>
        <v/>
      </c>
      <c r="C78" s="12" t="n"/>
      <c r="D78" s="13" t="n"/>
      <c r="E78" s="13">
        <f>IF(A78="","",IF(A78="Mot-clé principal",IF($C$3="UNIVERS",$J$4,$J$3),IF(A78="Collection",$J$3,IF($C$3="PRODUIT PUR",$J$3,""))))</f>
        <v/>
      </c>
      <c r="F78" s="12">
        <f>IF(OR(D78="",E78=""),"",IF(D78&gt;=E78,"PASS",IF(D78&gt;=E78*$K$4,"REVIEW","STOP")))</f>
        <v/>
      </c>
      <c r="G78" s="23" t="n"/>
      <c r="H78" s="25" t="n"/>
      <c r="I78" s="25" t="n"/>
      <c r="J78" s="25">
        <f>IF(OR(H78="",I78=""),"",I78/1.2-H78)</f>
        <v/>
      </c>
      <c r="K78" s="12" t="n"/>
    </row>
    <row r="79">
      <c r="A79" s="12" t="n"/>
      <c r="B79" s="22">
        <f>IF(A79="","",IF(A79="Mot-clé principal","◆ "&amp;C79,IF(A79="Collection","    ├─ "&amp;C79,"         · "&amp;C79)))</f>
        <v/>
      </c>
      <c r="C79" s="12" t="n"/>
      <c r="D79" s="13" t="n"/>
      <c r="E79" s="13">
        <f>IF(A79="","",IF(A79="Mot-clé principal",IF($C$3="UNIVERS",$J$4,$J$3),IF(A79="Collection",$J$3,IF($C$3="PRODUIT PUR",$J$3,""))))</f>
        <v/>
      </c>
      <c r="F79" s="12">
        <f>IF(OR(D79="",E79=""),"",IF(D79&gt;=E79,"PASS",IF(D79&gt;=E79*$K$4,"REVIEW","STOP")))</f>
        <v/>
      </c>
      <c r="G79" s="23" t="n"/>
      <c r="H79" s="25" t="n"/>
      <c r="I79" s="25" t="n"/>
      <c r="J79" s="25">
        <f>IF(OR(H79="",I79=""),"",I79/1.2-H79)</f>
        <v/>
      </c>
      <c r="K79" s="12" t="n"/>
    </row>
    <row r="80">
      <c r="A80" s="12" t="n"/>
      <c r="B80" s="22">
        <f>IF(A80="","",IF(A80="Mot-clé principal","◆ "&amp;C80,IF(A80="Collection","    ├─ "&amp;C80,"         · "&amp;C80)))</f>
        <v/>
      </c>
      <c r="C80" s="12" t="n"/>
      <c r="D80" s="13" t="n"/>
      <c r="E80" s="13">
        <f>IF(A80="","",IF(A80="Mot-clé principal",IF($C$3="UNIVERS",$J$4,$J$3),IF(A80="Collection",$J$3,IF($C$3="PRODUIT PUR",$J$3,""))))</f>
        <v/>
      </c>
      <c r="F80" s="12">
        <f>IF(OR(D80="",E80=""),"",IF(D80&gt;=E80,"PASS",IF(D80&gt;=E80*$K$4,"REVIEW","STOP")))</f>
        <v/>
      </c>
      <c r="G80" s="23" t="n"/>
      <c r="H80" s="25" t="n"/>
      <c r="I80" s="25" t="n"/>
      <c r="J80" s="25">
        <f>IF(OR(H80="",I80=""),"",I80/1.2-H80)</f>
        <v/>
      </c>
      <c r="K80" s="12" t="n"/>
    </row>
  </sheetData>
  <mergeCells count="2">
    <mergeCell ref="C5:K5"/>
    <mergeCell ref="B2:D2"/>
  </mergeCells>
  <conditionalFormatting sqref="A8:K80">
    <cfRule type="expression" priority="1" dxfId="3">
      <formula>$A8="Mot-clé principal"</formula>
    </cfRule>
    <cfRule type="expression" priority="2" dxfId="4">
      <formula>$A8="Collection"</formula>
    </cfRule>
  </conditionalFormatting>
  <conditionalFormatting sqref="F8:F80">
    <cfRule type="cellIs" priority="3" operator="equal" dxfId="0">
      <formula>"PASS"</formula>
    </cfRule>
    <cfRule type="cellIs" priority="4" operator="equal" dxfId="1">
      <formula>"REVIEW"</formula>
    </cfRule>
    <cfRule type="cellIs" priority="5" operator="equal" dxfId="2">
      <formula>"STOP"</formula>
    </cfRule>
  </conditionalFormatting>
  <conditionalFormatting sqref="J8:J80">
    <cfRule type="cellIs" priority="6" operator="lessThan" dxfId="5">
      <formula>0</formula>
    </cfRule>
  </conditionalFormatting>
  <dataValidations count="4">
    <dataValidation sqref="A8:A80" showDropDown="0" showInputMessage="0" showErrorMessage="0" allowBlank="1" type="list">
      <formula1>"Mot-clé principal,Collection,Produit"</formula1>
    </dataValidation>
    <dataValidation sqref="C3" showDropDown="0" showInputMessage="0" showErrorMessage="0" allowBlank="1" type="list">
      <formula1>"PRODUIT PUR,UNIVERS"</formula1>
    </dataValidation>
    <dataValidation sqref="C4" showDropDown="0" showInputMessage="0" showErrorMessage="0" allowBlank="1" type="list">
      <formula1>"FR,UK,DE,ES,IT,US"</formula1>
    </dataValidation>
    <dataValidation sqref="F3" showDropDown="0" showInputMessage="0" showErrorMessage="0" allowBlank="1" type="list">
      <formula1>"Idée,Mesure en cours,PASS,REVIEW,STOP,Sourcing,GO_FINAL,WATCH_FINAL,NO_GO_FINAL"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2026-09-09T12:21:56Z</dcterms:created>
  <dcterms:modified xsi:type="dcterms:W3CDTF">2026-09-09T12:21:56Z</dcterms:modified>
</cp:coreProperties>
</file>